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shzadpe/Documents/14 : 11C CP DH/BBU/Stuctural BBU/"/>
    </mc:Choice>
  </mc:AlternateContent>
  <xr:revisionPtr revIDLastSave="0" documentId="13_ncr:1_{11BD7733-4F8C-C045-A660-EEF88634C97B}" xr6:coauthVersionLast="47" xr6:coauthVersionMax="47" xr10:uidLastSave="{00000000-0000-0000-0000-000000000000}"/>
  <bookViews>
    <workbookView xWindow="0" yWindow="780" windowWidth="34200" windowHeight="19660" xr2:uid="{25505F28-B84B-A14C-B0DC-D0BC33201AF8}"/>
  </bookViews>
  <sheets>
    <sheet name="Sheet1" sheetId="1" r:id="rId1"/>
  </sheets>
  <definedNames>
    <definedName name="_xlnm.Print_Area" localSheetId="0">Sheet1!$A$1:$J$44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  <c r="H32" i="1"/>
  <c r="G34" i="1"/>
  <c r="H34" i="1" s="1"/>
  <c r="H42" i="1"/>
  <c r="G40" i="1"/>
  <c r="H40" i="1" s="1"/>
  <c r="G38" i="1"/>
  <c r="H38" i="1" s="1"/>
  <c r="G36" i="1"/>
  <c r="H36" i="1" s="1"/>
  <c r="H22" i="1"/>
  <c r="H12" i="1"/>
  <c r="G20" i="1"/>
  <c r="H20" i="1" s="1"/>
  <c r="G18" i="1"/>
  <c r="H18" i="1" s="1"/>
  <c r="G16" i="1"/>
  <c r="H16" i="1" s="1"/>
  <c r="I16" i="1" s="1"/>
  <c r="G14" i="1"/>
  <c r="H14" i="1" s="1"/>
  <c r="I32" i="1" l="1"/>
  <c r="J32" i="1" s="1"/>
  <c r="I36" i="1"/>
  <c r="J36" i="1" s="1"/>
  <c r="I38" i="1"/>
  <c r="J38" i="1" s="1"/>
  <c r="I34" i="1"/>
  <c r="J34" i="1" s="1"/>
  <c r="I40" i="1"/>
  <c r="J40" i="1" s="1"/>
  <c r="I42" i="1"/>
  <c r="J42" i="1" s="1"/>
  <c r="I22" i="1"/>
  <c r="J22" i="1" s="1"/>
  <c r="I20" i="1"/>
  <c r="J20" i="1" s="1"/>
  <c r="I12" i="1"/>
  <c r="H24" i="1"/>
  <c r="I14" i="1"/>
  <c r="J14" i="1" s="1"/>
  <c r="I18" i="1"/>
  <c r="J18" i="1" s="1"/>
  <c r="J16" i="1"/>
  <c r="I44" i="1" l="1"/>
  <c r="J44" i="1"/>
  <c r="I24" i="1"/>
  <c r="J12" i="1"/>
  <c r="J24" i="1" s="1"/>
</calcChain>
</file>

<file path=xl/sharedStrings.xml><?xml version="1.0" encoding="utf-8"?>
<sst xmlns="http://schemas.openxmlformats.org/spreadsheetml/2006/main" count="59" uniqueCount="33">
  <si>
    <t>Description</t>
  </si>
  <si>
    <t>Unit</t>
  </si>
  <si>
    <t>Basic Rate</t>
  </si>
  <si>
    <t>77.5% basic rate</t>
  </si>
  <si>
    <t>GST!8%</t>
  </si>
  <si>
    <t>77.5% Gross Value</t>
  </si>
  <si>
    <t>PO Header Item No.</t>
  </si>
  <si>
    <t>PO Service Item No.</t>
  </si>
  <si>
    <t>Supply of building structure including painting as per contract conditions.</t>
  </si>
  <si>
    <t>Inland freignt charges up to site for fabricated building structures</t>
  </si>
  <si>
    <t>Supply of pre-coloured coated Galvalume profile sheeting</t>
  </si>
  <si>
    <t>Supply of FRP/ Translucent sheets</t>
  </si>
  <si>
    <t>Inland freignt charges up to site for sheeting materials</t>
  </si>
  <si>
    <t>MT</t>
  </si>
  <si>
    <t>sqm</t>
  </si>
  <si>
    <t>Qty</t>
  </si>
  <si>
    <t>Balance Round-Off</t>
  </si>
  <si>
    <t>LS</t>
  </si>
  <si>
    <t xml:space="preserve">Supply of steel fabricated structure and various of building structure. Table 5A (Deposit 14) </t>
  </si>
  <si>
    <t>Total</t>
  </si>
  <si>
    <t xml:space="preserve">Supply of steel fabricated structure and various of building structure. Table 5A (Deposit 11C) </t>
  </si>
  <si>
    <t>Name of work:</t>
  </si>
  <si>
    <t>SAP PO No. :</t>
  </si>
  <si>
    <t>LAC No.:</t>
  </si>
  <si>
    <t>Name of contractor:</t>
  </si>
  <si>
    <t>Design, Engineering, Manufacture, Supply, Storage &amp; Handling at site, Construction, Erection, Testing, Commissioning and Demonstration of Performance Guarantee of New Crushing Plant &amp; Downhill Conveyor System for Deposit 14 and 11C of Bailadila Iron Ore Mines, NMDC, Kirandul complex (Chhattisgarh).</t>
  </si>
  <si>
    <t xml:space="preserve">HO (Contracts)/ NCP&amp;DHCS/ DEP-14&amp;11C/ 945/ 310 dtd: 21.03.2025 </t>
  </si>
  <si>
    <t xml:space="preserve">M/s S. K. Samanta &amp; Co. Pvt. Ltd., Kolkata </t>
  </si>
  <si>
    <t>170/330</t>
  </si>
  <si>
    <t>180/340</t>
  </si>
  <si>
    <t>BILLING SCHEDULE FOR SUPPLY OF STEEL STRUCTURES FOR ERECTION OF PLANT AND MACHINARY (DEPOSIT 14)</t>
  </si>
  <si>
    <t>BILLING SCHEDULE FOR SUPPLY OF STEEL STRUCTURES FOR ERECTION OF PLANT AND MACHINARY (DEPOSIT 11C)</t>
  </si>
  <si>
    <t>77.5% Basic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</si>
</sst>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0" xfId="0" applyAlignment="1">
      <alignment horizontal="left"/>
    </xf>
    <xf numFmtId="0" fontId="0" fillId="0" borderId="2" xfId="0" applyBorder="1" applyAlignment="1">
      <alignment vertical="top"/>
    </xf>
    <xf numFmtId="0" fontId="1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996F1-C538-7E4F-97F3-DED99A9B9942}">
  <dimension ref="A1:N44"/>
  <sheetViews>
    <sheetView tabSelected="1" zoomScale="150" zoomScaleNormal="150" workbookViewId="0">
      <selection activeCell="H47" sqref="H47"/>
    </sheetView>
  </sheetViews>
  <sheetFormatPr baseColWidth="10" defaultRowHeight="16" x14ac:dyDescent="0.2"/>
  <cols>
    <col min="1" max="1" width="9.83203125" customWidth="1"/>
    <col min="2" max="2" width="9.6640625" customWidth="1"/>
    <col min="3" max="3" width="61.33203125" customWidth="1"/>
    <col min="4" max="4" width="4.6640625" bestFit="1" customWidth="1"/>
    <col min="5" max="5" width="10.6640625" customWidth="1"/>
    <col min="6" max="7" width="11.83203125" customWidth="1"/>
    <col min="8" max="8" width="14.5" customWidth="1"/>
    <col min="9" max="9" width="13.6640625" bestFit="1" customWidth="1"/>
    <col min="10" max="10" width="15.83203125" customWidth="1"/>
    <col min="12" max="12" width="14.6640625" bestFit="1" customWidth="1"/>
    <col min="13" max="13" width="20.6640625" customWidth="1"/>
    <col min="14" max="14" width="14.5" customWidth="1"/>
  </cols>
  <sheetData>
    <row r="1" spans="1:14" ht="36" customHeight="1" x14ac:dyDescent="0.2">
      <c r="A1" s="15" t="s">
        <v>21</v>
      </c>
      <c r="B1" s="11"/>
      <c r="C1" s="17" t="s">
        <v>25</v>
      </c>
      <c r="D1" s="17"/>
      <c r="E1" s="17"/>
      <c r="F1" s="17"/>
      <c r="G1" s="17"/>
      <c r="H1" s="17"/>
      <c r="I1" s="17"/>
      <c r="J1" s="18"/>
    </row>
    <row r="2" spans="1:14" x14ac:dyDescent="0.2">
      <c r="A2" s="10" t="s">
        <v>23</v>
      </c>
      <c r="B2" s="11"/>
      <c r="C2" s="12" t="s">
        <v>26</v>
      </c>
      <c r="D2" s="11"/>
      <c r="E2" s="11"/>
      <c r="F2" s="11"/>
      <c r="G2" s="11"/>
      <c r="H2" s="11"/>
      <c r="I2" s="11"/>
      <c r="J2" s="13"/>
    </row>
    <row r="3" spans="1:14" x14ac:dyDescent="0.2">
      <c r="A3" s="10" t="s">
        <v>22</v>
      </c>
      <c r="B3" s="11"/>
      <c r="C3" s="12">
        <v>2700018054</v>
      </c>
      <c r="D3" s="11"/>
      <c r="E3" s="11"/>
      <c r="F3" s="11"/>
      <c r="G3" s="11"/>
      <c r="H3" s="11"/>
      <c r="I3" s="11"/>
      <c r="J3" s="13"/>
    </row>
    <row r="4" spans="1:14" x14ac:dyDescent="0.2">
      <c r="A4" s="10" t="s">
        <v>24</v>
      </c>
      <c r="B4" s="11"/>
      <c r="C4" s="12" t="s">
        <v>27</v>
      </c>
      <c r="D4" s="11"/>
      <c r="E4" s="11"/>
      <c r="F4" s="11"/>
      <c r="G4" s="11"/>
      <c r="H4" s="11"/>
      <c r="I4" s="11"/>
      <c r="J4" s="13"/>
    </row>
    <row r="5" spans="1:14" x14ac:dyDescent="0.2">
      <c r="C5" s="14"/>
    </row>
    <row r="6" spans="1:14" x14ac:dyDescent="0.2">
      <c r="A6" s="19" t="s">
        <v>30</v>
      </c>
      <c r="B6" s="19"/>
      <c r="C6" s="19"/>
      <c r="D6" s="19"/>
      <c r="E6" s="19"/>
      <c r="F6" s="19"/>
      <c r="G6" s="19"/>
      <c r="H6" s="19"/>
      <c r="I6" s="19"/>
      <c r="J6" s="19"/>
    </row>
    <row r="8" spans="1:14" ht="51" x14ac:dyDescent="0.2">
      <c r="A8" s="6" t="s">
        <v>6</v>
      </c>
      <c r="B8" s="6" t="s">
        <v>7</v>
      </c>
      <c r="C8" s="6" t="s">
        <v>0</v>
      </c>
      <c r="D8" s="6" t="s">
        <v>1</v>
      </c>
      <c r="E8" s="6" t="s">
        <v>15</v>
      </c>
      <c r="F8" s="6" t="s">
        <v>2</v>
      </c>
      <c r="G8" s="6" t="s">
        <v>3</v>
      </c>
      <c r="H8" s="6" t="s">
        <v>32</v>
      </c>
      <c r="I8" s="6" t="s">
        <v>4</v>
      </c>
      <c r="J8" s="6" t="s">
        <v>5</v>
      </c>
      <c r="K8" s="1"/>
    </row>
    <row r="9" spans="1:14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1"/>
    </row>
    <row r="10" spans="1:14" ht="17" x14ac:dyDescent="0.2">
      <c r="A10" s="6" t="s">
        <v>28</v>
      </c>
      <c r="B10" s="6"/>
      <c r="C10" s="16" t="s">
        <v>18</v>
      </c>
      <c r="D10" s="16"/>
      <c r="E10" s="16"/>
      <c r="F10" s="16"/>
      <c r="G10" s="16"/>
      <c r="H10" s="16"/>
      <c r="I10" s="16"/>
      <c r="J10" s="16"/>
      <c r="K10" s="1"/>
    </row>
    <row r="11" spans="1:14" x14ac:dyDescent="0.2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4" x14ac:dyDescent="0.2">
      <c r="A12" s="7"/>
      <c r="B12" s="8">
        <v>1</v>
      </c>
      <c r="C12" s="7" t="s">
        <v>8</v>
      </c>
      <c r="D12" s="7" t="s">
        <v>13</v>
      </c>
      <c r="E12" s="9">
        <v>8000</v>
      </c>
      <c r="F12" s="9">
        <v>143645</v>
      </c>
      <c r="G12" s="9">
        <v>111324.87</v>
      </c>
      <c r="H12" s="9">
        <f>ROUND(E12*G12,2)</f>
        <v>890598960</v>
      </c>
      <c r="I12" s="9">
        <f>ROUND((H12*18)/100,2)</f>
        <v>160307812.80000001</v>
      </c>
      <c r="J12" s="9">
        <f>H12+I12</f>
        <v>1050906772.8</v>
      </c>
      <c r="L12" s="2"/>
      <c r="M12" s="2"/>
      <c r="N12" s="4"/>
    </row>
    <row r="13" spans="1:14" x14ac:dyDescent="0.2">
      <c r="A13" s="7"/>
      <c r="B13" s="8"/>
      <c r="C13" s="7"/>
      <c r="D13" s="7"/>
      <c r="E13" s="9"/>
      <c r="F13" s="9"/>
      <c r="G13" s="9"/>
      <c r="H13" s="7"/>
      <c r="I13" s="7"/>
      <c r="J13" s="7"/>
      <c r="N13" s="4"/>
    </row>
    <row r="14" spans="1:14" x14ac:dyDescent="0.2">
      <c r="A14" s="7"/>
      <c r="B14" s="8">
        <v>2</v>
      </c>
      <c r="C14" s="7" t="s">
        <v>9</v>
      </c>
      <c r="D14" s="7" t="s">
        <v>13</v>
      </c>
      <c r="E14" s="9">
        <v>8000</v>
      </c>
      <c r="F14" s="9">
        <v>5000</v>
      </c>
      <c r="G14" s="9">
        <f>ROUND((F14*77.5)/100,2)</f>
        <v>3875</v>
      </c>
      <c r="H14" s="9">
        <f>ROUND(E14*G14,2)</f>
        <v>31000000</v>
      </c>
      <c r="I14" s="9">
        <f>ROUND((H14*18)/100,2)</f>
        <v>5580000</v>
      </c>
      <c r="J14" s="9">
        <f>H14+I14</f>
        <v>36580000</v>
      </c>
      <c r="L14" s="2"/>
      <c r="M14" s="2"/>
      <c r="N14" s="4"/>
    </row>
    <row r="15" spans="1:14" x14ac:dyDescent="0.2">
      <c r="A15" s="7"/>
      <c r="B15" s="8"/>
      <c r="C15" s="7"/>
      <c r="D15" s="7"/>
      <c r="E15" s="9"/>
      <c r="F15" s="9"/>
      <c r="G15" s="9"/>
      <c r="H15" s="7"/>
      <c r="I15" s="7"/>
      <c r="J15" s="7"/>
      <c r="N15" s="4"/>
    </row>
    <row r="16" spans="1:14" x14ac:dyDescent="0.2">
      <c r="A16" s="7"/>
      <c r="B16" s="8">
        <v>3</v>
      </c>
      <c r="C16" s="7" t="s">
        <v>10</v>
      </c>
      <c r="D16" s="7" t="s">
        <v>14</v>
      </c>
      <c r="E16" s="9">
        <v>52800</v>
      </c>
      <c r="F16" s="9">
        <v>950</v>
      </c>
      <c r="G16" s="9">
        <f>ROUND((F16*77.5)/100,2)</f>
        <v>736.25</v>
      </c>
      <c r="H16" s="9">
        <f>ROUND(E16*G16,2)</f>
        <v>38874000</v>
      </c>
      <c r="I16" s="9">
        <f>ROUND((H16*18)/100,2)</f>
        <v>6997320</v>
      </c>
      <c r="J16" s="9">
        <f>H16+I16</f>
        <v>45871320</v>
      </c>
      <c r="L16" s="2"/>
      <c r="M16" s="2"/>
      <c r="N16" s="4"/>
    </row>
    <row r="17" spans="1:14" x14ac:dyDescent="0.2">
      <c r="A17" s="7"/>
      <c r="B17" s="8"/>
      <c r="C17" s="7"/>
      <c r="D17" s="7"/>
      <c r="E17" s="9"/>
      <c r="F17" s="9"/>
      <c r="G17" s="9"/>
      <c r="H17" s="7"/>
      <c r="I17" s="7"/>
      <c r="J17" s="7"/>
      <c r="N17" s="4"/>
    </row>
    <row r="18" spans="1:14" x14ac:dyDescent="0.2">
      <c r="A18" s="7"/>
      <c r="B18" s="8">
        <v>4</v>
      </c>
      <c r="C18" s="7" t="s">
        <v>11</v>
      </c>
      <c r="D18" s="7" t="s">
        <v>14</v>
      </c>
      <c r="E18" s="9">
        <v>7200</v>
      </c>
      <c r="F18" s="9">
        <v>950</v>
      </c>
      <c r="G18" s="9">
        <f>ROUND((F18*77.5)/100,2)</f>
        <v>736.25</v>
      </c>
      <c r="H18" s="9">
        <f>ROUND(E18*G18,2)</f>
        <v>5301000</v>
      </c>
      <c r="I18" s="9">
        <f>ROUND((H18*18)/100,2)</f>
        <v>954180</v>
      </c>
      <c r="J18" s="9">
        <f>H18+I18</f>
        <v>6255180</v>
      </c>
      <c r="L18" s="2"/>
      <c r="M18" s="2"/>
      <c r="N18" s="4"/>
    </row>
    <row r="19" spans="1:14" x14ac:dyDescent="0.2">
      <c r="A19" s="7"/>
      <c r="B19" s="8"/>
      <c r="C19" s="7"/>
      <c r="D19" s="7"/>
      <c r="E19" s="9"/>
      <c r="F19" s="9"/>
      <c r="G19" s="9"/>
      <c r="H19" s="7"/>
      <c r="I19" s="7"/>
      <c r="J19" s="7"/>
      <c r="N19" s="4"/>
    </row>
    <row r="20" spans="1:14" x14ac:dyDescent="0.2">
      <c r="A20" s="7"/>
      <c r="B20" s="8">
        <v>5</v>
      </c>
      <c r="C20" s="7" t="s">
        <v>12</v>
      </c>
      <c r="D20" s="7" t="s">
        <v>14</v>
      </c>
      <c r="E20" s="9">
        <v>60000</v>
      </c>
      <c r="F20" s="9">
        <v>50</v>
      </c>
      <c r="G20" s="9">
        <f>ROUND((F20*77.5)/100,2)</f>
        <v>38.75</v>
      </c>
      <c r="H20" s="9">
        <f>ROUND(E20*G20,2)</f>
        <v>2325000</v>
      </c>
      <c r="I20" s="9">
        <f>ROUND((H20*18)/100,2)</f>
        <v>418500</v>
      </c>
      <c r="J20" s="9">
        <f>H20+I20</f>
        <v>2743500</v>
      </c>
      <c r="L20" s="2"/>
      <c r="M20" s="2"/>
      <c r="N20" s="4"/>
    </row>
    <row r="21" spans="1:14" x14ac:dyDescent="0.2">
      <c r="A21" s="7"/>
      <c r="B21" s="8"/>
      <c r="C21" s="7"/>
      <c r="D21" s="7"/>
      <c r="E21" s="7"/>
      <c r="F21" s="9"/>
      <c r="G21" s="9"/>
      <c r="H21" s="9"/>
      <c r="I21" s="9"/>
      <c r="J21" s="9"/>
      <c r="L21" s="2"/>
      <c r="M21" s="2"/>
      <c r="N21" s="4"/>
    </row>
    <row r="22" spans="1:14" x14ac:dyDescent="0.2">
      <c r="A22" s="7"/>
      <c r="B22" s="8">
        <v>6</v>
      </c>
      <c r="C22" s="7" t="s">
        <v>16</v>
      </c>
      <c r="D22" s="7" t="s">
        <v>17</v>
      </c>
      <c r="E22" s="9">
        <v>1</v>
      </c>
      <c r="F22" s="7"/>
      <c r="G22" s="9">
        <v>40</v>
      </c>
      <c r="H22" s="9">
        <f>G22*E22</f>
        <v>40</v>
      </c>
      <c r="I22" s="9">
        <f>ROUND((H22*18)/100,2)</f>
        <v>7.2</v>
      </c>
      <c r="J22" s="9">
        <f>H22+I22</f>
        <v>47.2</v>
      </c>
    </row>
    <row r="23" spans="1:14" x14ac:dyDescent="0.2">
      <c r="A23" s="7"/>
      <c r="B23" s="8"/>
      <c r="C23" s="7"/>
      <c r="D23" s="7"/>
      <c r="E23" s="9"/>
      <c r="F23" s="7"/>
      <c r="G23" s="9"/>
      <c r="H23" s="9"/>
      <c r="I23" s="9"/>
      <c r="J23" s="9"/>
    </row>
    <row r="24" spans="1:14" x14ac:dyDescent="0.2">
      <c r="A24" s="7"/>
      <c r="B24" s="8"/>
      <c r="C24" s="7" t="s">
        <v>19</v>
      </c>
      <c r="D24" s="7"/>
      <c r="E24" s="7"/>
      <c r="F24" s="7"/>
      <c r="G24" s="7"/>
      <c r="H24" s="9">
        <f>SUM(H12:H22)</f>
        <v>968099000</v>
      </c>
      <c r="I24" s="9">
        <f>SUM(I12:I22)</f>
        <v>174257820</v>
      </c>
      <c r="J24" s="9">
        <f>SUM(J12:J22)</f>
        <v>1142356820</v>
      </c>
      <c r="L24" s="2"/>
      <c r="M24" s="2"/>
    </row>
    <row r="25" spans="1:14" x14ac:dyDescent="0.2">
      <c r="B25" s="5"/>
      <c r="H25" s="2"/>
      <c r="I25" s="2"/>
      <c r="J25" s="2"/>
      <c r="L25" s="2"/>
      <c r="M25" s="2"/>
    </row>
    <row r="26" spans="1:14" x14ac:dyDescent="0.2">
      <c r="A26" s="19" t="s">
        <v>31</v>
      </c>
      <c r="B26" s="19"/>
      <c r="C26" s="19"/>
      <c r="D26" s="19"/>
      <c r="E26" s="19"/>
      <c r="F26" s="19"/>
      <c r="G26" s="19"/>
      <c r="H26" s="19"/>
      <c r="I26" s="19"/>
      <c r="J26" s="19"/>
      <c r="L26" s="2"/>
      <c r="M26" s="2"/>
    </row>
    <row r="27" spans="1:14" x14ac:dyDescent="0.2">
      <c r="B27" s="5"/>
    </row>
    <row r="28" spans="1:14" ht="51" x14ac:dyDescent="0.2">
      <c r="A28" s="6" t="s">
        <v>6</v>
      </c>
      <c r="B28" s="6" t="s">
        <v>7</v>
      </c>
      <c r="C28" s="6" t="s">
        <v>0</v>
      </c>
      <c r="D28" s="6" t="s">
        <v>1</v>
      </c>
      <c r="E28" s="6" t="s">
        <v>15</v>
      </c>
      <c r="F28" s="6" t="s">
        <v>2</v>
      </c>
      <c r="G28" s="6" t="s">
        <v>3</v>
      </c>
      <c r="H28" s="6" t="s">
        <v>32</v>
      </c>
      <c r="I28" s="6" t="s">
        <v>4</v>
      </c>
      <c r="J28" s="6" t="s">
        <v>5</v>
      </c>
      <c r="L28" s="2"/>
      <c r="M28" s="2"/>
    </row>
    <row r="29" spans="1:14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L29" s="2"/>
      <c r="M29" s="2"/>
    </row>
    <row r="30" spans="1:14" x14ac:dyDescent="0.2">
      <c r="A30" s="7" t="s">
        <v>29</v>
      </c>
      <c r="B30" s="7"/>
      <c r="C30" s="16" t="s">
        <v>20</v>
      </c>
      <c r="D30" s="16"/>
      <c r="E30" s="16"/>
      <c r="F30" s="16"/>
      <c r="G30" s="16"/>
      <c r="H30" s="16"/>
      <c r="I30" s="16"/>
      <c r="J30" s="16"/>
    </row>
    <row r="31" spans="1:14" x14ac:dyDescent="0.2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4" x14ac:dyDescent="0.2">
      <c r="A32" s="7"/>
      <c r="B32" s="8">
        <v>1</v>
      </c>
      <c r="C32" s="7" t="s">
        <v>8</v>
      </c>
      <c r="D32" s="7" t="s">
        <v>13</v>
      </c>
      <c r="E32" s="9">
        <v>4500</v>
      </c>
      <c r="F32" s="9">
        <v>143645</v>
      </c>
      <c r="G32" s="9">
        <v>111324.87</v>
      </c>
      <c r="H32" s="9">
        <f>ROUND(E32*G32,2)</f>
        <v>500961915</v>
      </c>
      <c r="I32" s="9">
        <f>ROUND((H32*18)/100,2)</f>
        <v>90173144.700000003</v>
      </c>
      <c r="J32" s="9">
        <f>H32+I32</f>
        <v>591135059.70000005</v>
      </c>
      <c r="L32" s="3"/>
    </row>
    <row r="33" spans="1:13" x14ac:dyDescent="0.2">
      <c r="A33" s="7"/>
      <c r="B33" s="8"/>
      <c r="C33" s="7"/>
      <c r="D33" s="7"/>
      <c r="E33" s="9"/>
      <c r="F33" s="9"/>
      <c r="G33" s="9"/>
      <c r="H33" s="7"/>
      <c r="I33" s="7"/>
      <c r="J33" s="7"/>
    </row>
    <row r="34" spans="1:13" x14ac:dyDescent="0.2">
      <c r="A34" s="7"/>
      <c r="B34" s="8">
        <v>2</v>
      </c>
      <c r="C34" s="7" t="s">
        <v>9</v>
      </c>
      <c r="D34" s="7" t="s">
        <v>13</v>
      </c>
      <c r="E34" s="9">
        <v>4500</v>
      </c>
      <c r="F34" s="9">
        <v>5000</v>
      </c>
      <c r="G34" s="9">
        <f>ROUND((F34*77.5)/100,2)</f>
        <v>3875</v>
      </c>
      <c r="H34" s="9">
        <f>ROUND(E34*G34,2)</f>
        <v>17437500</v>
      </c>
      <c r="I34" s="9">
        <f>ROUND((H34*18)/100,2)</f>
        <v>3138750</v>
      </c>
      <c r="J34" s="9">
        <f>H34+I34</f>
        <v>20576250</v>
      </c>
      <c r="L34" s="3"/>
    </row>
    <row r="35" spans="1:13" x14ac:dyDescent="0.2">
      <c r="A35" s="7"/>
      <c r="B35" s="8"/>
      <c r="C35" s="7"/>
      <c r="D35" s="7"/>
      <c r="E35" s="9"/>
      <c r="F35" s="9"/>
      <c r="G35" s="9"/>
      <c r="H35" s="7"/>
      <c r="I35" s="7"/>
      <c r="J35" s="7"/>
    </row>
    <row r="36" spans="1:13" x14ac:dyDescent="0.2">
      <c r="A36" s="7"/>
      <c r="B36" s="8">
        <v>3</v>
      </c>
      <c r="C36" s="7" t="s">
        <v>10</v>
      </c>
      <c r="D36" s="7" t="s">
        <v>14</v>
      </c>
      <c r="E36" s="9">
        <v>35200</v>
      </c>
      <c r="F36" s="9">
        <v>950</v>
      </c>
      <c r="G36" s="9">
        <f>ROUND((F36*77.5)/100,2)</f>
        <v>736.25</v>
      </c>
      <c r="H36" s="9">
        <f>ROUND(E36*G36,2)</f>
        <v>25916000</v>
      </c>
      <c r="I36" s="9">
        <f>ROUND((H36*18)/100,2)</f>
        <v>4664880</v>
      </c>
      <c r="J36" s="9">
        <f>H36+I36</f>
        <v>30580880</v>
      </c>
      <c r="L36" s="3"/>
    </row>
    <row r="37" spans="1:13" x14ac:dyDescent="0.2">
      <c r="A37" s="7"/>
      <c r="B37" s="8"/>
      <c r="C37" s="7"/>
      <c r="D37" s="7"/>
      <c r="E37" s="9"/>
      <c r="F37" s="9"/>
      <c r="G37" s="9"/>
      <c r="H37" s="7"/>
      <c r="I37" s="7"/>
      <c r="J37" s="7"/>
    </row>
    <row r="38" spans="1:13" x14ac:dyDescent="0.2">
      <c r="A38" s="7"/>
      <c r="B38" s="8">
        <v>4</v>
      </c>
      <c r="C38" s="7" t="s">
        <v>11</v>
      </c>
      <c r="D38" s="7" t="s">
        <v>14</v>
      </c>
      <c r="E38" s="9">
        <v>4800</v>
      </c>
      <c r="F38" s="9">
        <v>950</v>
      </c>
      <c r="G38" s="9">
        <f>ROUND((F38*77.5)/100,2)</f>
        <v>736.25</v>
      </c>
      <c r="H38" s="9">
        <f>ROUND(E38*G38,2)</f>
        <v>3534000</v>
      </c>
      <c r="I38" s="9">
        <f>ROUND((H38*18)/100,2)</f>
        <v>636120</v>
      </c>
      <c r="J38" s="9">
        <f>H38+I38</f>
        <v>4170120</v>
      </c>
      <c r="L38" s="3"/>
    </row>
    <row r="39" spans="1:13" x14ac:dyDescent="0.2">
      <c r="A39" s="7"/>
      <c r="B39" s="8"/>
      <c r="C39" s="7"/>
      <c r="D39" s="7"/>
      <c r="E39" s="9"/>
      <c r="F39" s="9"/>
      <c r="G39" s="9"/>
      <c r="H39" s="7"/>
      <c r="I39" s="7"/>
      <c r="J39" s="7"/>
    </row>
    <row r="40" spans="1:13" x14ac:dyDescent="0.2">
      <c r="A40" s="7"/>
      <c r="B40" s="8">
        <v>5</v>
      </c>
      <c r="C40" s="7" t="s">
        <v>12</v>
      </c>
      <c r="D40" s="7" t="s">
        <v>14</v>
      </c>
      <c r="E40" s="9">
        <v>40000</v>
      </c>
      <c r="F40" s="9">
        <v>50</v>
      </c>
      <c r="G40" s="9">
        <f>ROUND((F40*77.5)/100,2)</f>
        <v>38.75</v>
      </c>
      <c r="H40" s="9">
        <f>ROUND(E40*G40,2)</f>
        <v>1550000</v>
      </c>
      <c r="I40" s="9">
        <f>ROUND((H40*18)/100,2)</f>
        <v>279000</v>
      </c>
      <c r="J40" s="9">
        <f>H40+I40</f>
        <v>1829000</v>
      </c>
      <c r="L40" s="3"/>
    </row>
    <row r="41" spans="1:13" x14ac:dyDescent="0.2">
      <c r="A41" s="7"/>
      <c r="B41" s="8"/>
      <c r="C41" s="7"/>
      <c r="D41" s="7"/>
      <c r="E41" s="7"/>
      <c r="F41" s="9"/>
      <c r="G41" s="9"/>
      <c r="H41" s="9"/>
      <c r="I41" s="9"/>
      <c r="J41" s="9"/>
    </row>
    <row r="42" spans="1:13" x14ac:dyDescent="0.2">
      <c r="A42" s="7"/>
      <c r="B42" s="8">
        <v>6</v>
      </c>
      <c r="C42" s="7" t="s">
        <v>16</v>
      </c>
      <c r="D42" s="7" t="s">
        <v>17</v>
      </c>
      <c r="E42" s="9">
        <v>1</v>
      </c>
      <c r="F42" s="7"/>
      <c r="G42" s="9">
        <v>22.29</v>
      </c>
      <c r="H42" s="9">
        <f>G42*E42</f>
        <v>22.29</v>
      </c>
      <c r="I42" s="9">
        <f>ROUND((H42*18)/100,2)</f>
        <v>4.01</v>
      </c>
      <c r="J42" s="9">
        <f>H42+I42</f>
        <v>26.299999999999997</v>
      </c>
      <c r="L42" s="3"/>
    </row>
    <row r="43" spans="1:13" x14ac:dyDescent="0.2">
      <c r="A43" s="7"/>
      <c r="B43" s="7"/>
      <c r="C43" s="7"/>
      <c r="D43" s="7"/>
      <c r="E43" s="9"/>
      <c r="F43" s="7"/>
      <c r="G43" s="9"/>
      <c r="H43" s="9"/>
      <c r="I43" s="9"/>
      <c r="J43" s="9"/>
    </row>
    <row r="44" spans="1:13" x14ac:dyDescent="0.2">
      <c r="A44" s="7"/>
      <c r="B44" s="7"/>
      <c r="C44" s="7" t="s">
        <v>19</v>
      </c>
      <c r="D44" s="7"/>
      <c r="E44" s="7"/>
      <c r="F44" s="7"/>
      <c r="G44" s="7"/>
      <c r="H44" s="9">
        <f>SUM(H32:H43)</f>
        <v>549399437.28999996</v>
      </c>
      <c r="I44" s="9">
        <f>SUM(I32:I42)</f>
        <v>98891898.710000008</v>
      </c>
      <c r="J44" s="9">
        <f>SUM(J32:J42)</f>
        <v>648291336</v>
      </c>
      <c r="M44" s="2"/>
    </row>
  </sheetData>
  <mergeCells count="5">
    <mergeCell ref="C10:J10"/>
    <mergeCell ref="C30:J30"/>
    <mergeCell ref="C1:J1"/>
    <mergeCell ref="A6:J6"/>
    <mergeCell ref="A26:J26"/>
  </mergeCells>
  <printOptions horizontalCentered="1"/>
  <pageMargins left="0.75" right="0.5" top="0.5" bottom="0.5" header="0.3" footer="0.3"/>
  <pageSetup paperSize="9" scale="70" orientation="landscape" horizontalDpi="0" verticalDpi="0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p zadpe</dc:creator>
  <cp:lastModifiedBy>ashish p zadpe</cp:lastModifiedBy>
  <dcterms:created xsi:type="dcterms:W3CDTF">2025-10-09T14:17:24Z</dcterms:created>
  <dcterms:modified xsi:type="dcterms:W3CDTF">2025-11-10T10:32:11Z</dcterms:modified>
</cp:coreProperties>
</file>