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D:\Naresh Working\NMDC\5. Data\Kirandul\Billing Schedule\"/>
    </mc:Choice>
  </mc:AlternateContent>
  <xr:revisionPtr revIDLastSave="0" documentId="13_ncr:1_{2AD2B635-35FE-4BF8-B64E-3C62407B91F6}" xr6:coauthVersionLast="47" xr6:coauthVersionMax="47" xr10:uidLastSave="{00000000-0000-0000-0000-000000000000}"/>
  <bookViews>
    <workbookView xWindow="-110" yWindow="-110" windowWidth="19420" windowHeight="11500" xr2:uid="{00000000-000D-0000-FFFF-FFFF00000000}"/>
  </bookViews>
  <sheets>
    <sheet name="PO Format D 11C" sheetId="9" r:id="rId1"/>
    <sheet name="PO Format D 14" sheetId="8" r:id="rId2"/>
    <sheet name="Dep14" sheetId="4" r:id="rId3"/>
    <sheet name="Dep11C" sheetId="5" r:id="rId4"/>
  </sheets>
  <definedNames>
    <definedName name="_xlnm.Print_Area" localSheetId="3">Dep11C!$A$1:$K$100</definedName>
    <definedName name="_xlnm.Print_Area" localSheetId="2">'Dep14'!$A$1:$K$94</definedName>
    <definedName name="_xlnm.Print_Area" localSheetId="0">'PO Format D 11C'!$B$1:$L$58</definedName>
    <definedName name="_xlnm.Print_Area" localSheetId="1">'PO Format D 14'!$B$1:$L$65</definedName>
    <definedName name="_xlnm.Print_Titles" localSheetId="3">Dep11C!$1:$6</definedName>
    <definedName name="_xlnm.Print_Titles" localSheetId="2">'Dep14'!$1:$6</definedName>
    <definedName name="_xlnm.Print_Titles" localSheetId="0">'PO Format D 11C'!$1:$5</definedName>
    <definedName name="_xlnm.Print_Titles" localSheetId="1">'PO Format D 14'!$1:$5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35" i="8" l="1"/>
  <c r="G36" i="8"/>
  <c r="G37" i="8"/>
  <c r="G38" i="8"/>
  <c r="G39" i="8"/>
  <c r="G40" i="8"/>
  <c r="H40" i="8" s="1"/>
  <c r="G41" i="8"/>
  <c r="H41" i="8" s="1"/>
  <c r="J41" i="8" s="1"/>
  <c r="G42" i="8"/>
  <c r="H42" i="8" s="1"/>
  <c r="G43" i="8"/>
  <c r="G44" i="8"/>
  <c r="G45" i="8"/>
  <c r="G46" i="8"/>
  <c r="G47" i="8"/>
  <c r="G48" i="8"/>
  <c r="H48" i="8" s="1"/>
  <c r="G49" i="8"/>
  <c r="H49" i="8" s="1"/>
  <c r="G50" i="8"/>
  <c r="H50" i="8" s="1"/>
  <c r="G51" i="8"/>
  <c r="G52" i="8"/>
  <c r="G53" i="8"/>
  <c r="G54" i="8"/>
  <c r="G55" i="8"/>
  <c r="H55" i="8" s="1"/>
  <c r="G56" i="8"/>
  <c r="H56" i="8" s="1"/>
  <c r="G34" i="8"/>
  <c r="H34" i="8" s="1"/>
  <c r="I28" i="8"/>
  <c r="I29" i="8" s="1"/>
  <c r="I27" i="9"/>
  <c r="J27" i="9"/>
  <c r="K27" i="9"/>
  <c r="L27" i="9"/>
  <c r="H27" i="9"/>
  <c r="L26" i="9"/>
  <c r="K26" i="9"/>
  <c r="H26" i="9"/>
  <c r="P49" i="9"/>
  <c r="Q49" i="9" s="1"/>
  <c r="G49" i="9"/>
  <c r="H49" i="9" s="1"/>
  <c r="P48" i="9"/>
  <c r="Q48" i="9" s="1"/>
  <c r="G48" i="9"/>
  <c r="H48" i="9" s="1"/>
  <c r="P47" i="9"/>
  <c r="Q47" i="9" s="1"/>
  <c r="G47" i="9"/>
  <c r="H47" i="9" s="1"/>
  <c r="P46" i="9"/>
  <c r="Q46" i="9" s="1"/>
  <c r="G46" i="9"/>
  <c r="H46" i="9" s="1"/>
  <c r="J48" i="9"/>
  <c r="P45" i="9"/>
  <c r="Q45" i="9" s="1"/>
  <c r="G45" i="9"/>
  <c r="H45" i="9" s="1"/>
  <c r="P44" i="9"/>
  <c r="Q44" i="9" s="1"/>
  <c r="G44" i="9"/>
  <c r="H44" i="9" s="1"/>
  <c r="P43" i="9"/>
  <c r="Q43" i="9" s="1"/>
  <c r="G43" i="9"/>
  <c r="H43" i="9" s="1"/>
  <c r="P42" i="9"/>
  <c r="Q42" i="9" s="1"/>
  <c r="G42" i="9"/>
  <c r="H42" i="9" s="1"/>
  <c r="J44" i="9"/>
  <c r="F41" i="9"/>
  <c r="G41" i="9" s="1"/>
  <c r="H41" i="9" s="1"/>
  <c r="G40" i="9"/>
  <c r="H40" i="9" s="1"/>
  <c r="G39" i="9"/>
  <c r="H39" i="9" s="1"/>
  <c r="G38" i="9"/>
  <c r="H38" i="9" s="1"/>
  <c r="G37" i="9"/>
  <c r="H37" i="9" s="1"/>
  <c r="G36" i="9"/>
  <c r="H36" i="9" s="1"/>
  <c r="G35" i="9"/>
  <c r="H35" i="9" s="1"/>
  <c r="J35" i="9" s="1"/>
  <c r="P34" i="9"/>
  <c r="Q34" i="9" s="1"/>
  <c r="J34" i="9"/>
  <c r="G34" i="9"/>
  <c r="H34" i="9" s="1"/>
  <c r="P33" i="9"/>
  <c r="Q33" i="9" s="1"/>
  <c r="J33" i="9"/>
  <c r="G33" i="9"/>
  <c r="H33" i="9" s="1"/>
  <c r="G32" i="9"/>
  <c r="H32" i="9" s="1"/>
  <c r="J32" i="9" s="1"/>
  <c r="G31" i="9"/>
  <c r="H31" i="9" s="1"/>
  <c r="J31" i="9" s="1"/>
  <c r="G30" i="9"/>
  <c r="H30" i="9" s="1"/>
  <c r="G25" i="9"/>
  <c r="H25" i="9" s="1"/>
  <c r="J25" i="9" s="1"/>
  <c r="G24" i="9"/>
  <c r="H24" i="9" s="1"/>
  <c r="G23" i="9"/>
  <c r="H23" i="9" s="1"/>
  <c r="G22" i="9"/>
  <c r="H22" i="9" s="1"/>
  <c r="G21" i="9"/>
  <c r="H21" i="9" s="1"/>
  <c r="G20" i="9"/>
  <c r="H20" i="9" s="1"/>
  <c r="G19" i="9"/>
  <c r="H19" i="9" s="1"/>
  <c r="G18" i="9"/>
  <c r="H18" i="9" s="1"/>
  <c r="J17" i="9"/>
  <c r="G17" i="9"/>
  <c r="H17" i="9" s="1"/>
  <c r="K17" i="9" s="1"/>
  <c r="L17" i="9" s="1"/>
  <c r="J16" i="9"/>
  <c r="G16" i="9"/>
  <c r="H16" i="9" s="1"/>
  <c r="G13" i="9"/>
  <c r="H13" i="9" s="1"/>
  <c r="G12" i="9"/>
  <c r="H12" i="9" s="1"/>
  <c r="M11" i="9"/>
  <c r="G11" i="9"/>
  <c r="H11" i="9" s="1"/>
  <c r="M10" i="9"/>
  <c r="G10" i="9"/>
  <c r="H10" i="9" s="1"/>
  <c r="G9" i="9"/>
  <c r="E9" i="9"/>
  <c r="I57" i="8"/>
  <c r="N56" i="8"/>
  <c r="O56" i="8" s="1"/>
  <c r="N55" i="8"/>
  <c r="O55" i="8" s="1"/>
  <c r="N54" i="8"/>
  <c r="O54" i="8" s="1"/>
  <c r="H54" i="8"/>
  <c r="J54" i="8" s="1"/>
  <c r="N53" i="8"/>
  <c r="O53" i="8" s="1"/>
  <c r="H53" i="8"/>
  <c r="H52" i="8"/>
  <c r="H51" i="8"/>
  <c r="H47" i="8"/>
  <c r="H46" i="8"/>
  <c r="K46" i="8" s="1"/>
  <c r="H45" i="8"/>
  <c r="H44" i="8"/>
  <c r="H43" i="8"/>
  <c r="J43" i="8" s="1"/>
  <c r="H39" i="8"/>
  <c r="H38" i="8"/>
  <c r="J38" i="8" s="1"/>
  <c r="H37" i="8"/>
  <c r="H36" i="8"/>
  <c r="H35" i="8"/>
  <c r="G27" i="8"/>
  <c r="H27" i="8" s="1"/>
  <c r="G26" i="8"/>
  <c r="H26" i="8" s="1"/>
  <c r="G25" i="8"/>
  <c r="H25" i="8" s="1"/>
  <c r="G24" i="8"/>
  <c r="H24" i="8" s="1"/>
  <c r="G23" i="8"/>
  <c r="H23" i="8" s="1"/>
  <c r="G22" i="8"/>
  <c r="H22" i="8" s="1"/>
  <c r="G21" i="8"/>
  <c r="H21" i="8" s="1"/>
  <c r="J21" i="8" s="1"/>
  <c r="G20" i="8"/>
  <c r="H20" i="8" s="1"/>
  <c r="G19" i="8"/>
  <c r="H19" i="8" s="1"/>
  <c r="G18" i="8"/>
  <c r="H18" i="8" s="1"/>
  <c r="G17" i="8"/>
  <c r="H17" i="8" s="1"/>
  <c r="J17" i="8" s="1"/>
  <c r="O16" i="8"/>
  <c r="G16" i="8"/>
  <c r="H16" i="8" s="1"/>
  <c r="G13" i="8"/>
  <c r="H13" i="8" s="1"/>
  <c r="G12" i="8"/>
  <c r="H12" i="8" s="1"/>
  <c r="G11" i="8"/>
  <c r="H11" i="8" s="1"/>
  <c r="J11" i="8" s="1"/>
  <c r="G10" i="8"/>
  <c r="H10" i="8" s="1"/>
  <c r="J10" i="8" s="1"/>
  <c r="W9" i="8"/>
  <c r="R9" i="8"/>
  <c r="Q9" i="8"/>
  <c r="O9" i="8"/>
  <c r="G9" i="8"/>
  <c r="E9" i="8"/>
  <c r="G44" i="5"/>
  <c r="H44" i="5"/>
  <c r="I44" i="5"/>
  <c r="J44" i="5"/>
  <c r="H91" i="5"/>
  <c r="I91" i="5"/>
  <c r="J91" i="5"/>
  <c r="K91" i="5"/>
  <c r="G91" i="5"/>
  <c r="F48" i="5"/>
  <c r="G48" i="5" s="1"/>
  <c r="L23" i="5"/>
  <c r="H23" i="5"/>
  <c r="F18" i="5"/>
  <c r="G18" i="5" s="1"/>
  <c r="D10" i="5"/>
  <c r="L11" i="5"/>
  <c r="L12" i="5"/>
  <c r="L10" i="5"/>
  <c r="H85" i="4"/>
  <c r="I85" i="4"/>
  <c r="J85" i="4"/>
  <c r="K85" i="4"/>
  <c r="G85" i="4"/>
  <c r="M57" i="4"/>
  <c r="M24" i="4"/>
  <c r="M25" i="4" s="1"/>
  <c r="D10" i="4"/>
  <c r="N21" i="4"/>
  <c r="N20" i="4"/>
  <c r="H43" i="4"/>
  <c r="F29" i="4"/>
  <c r="G29" i="4" s="1"/>
  <c r="F26" i="4"/>
  <c r="G26" i="4" s="1"/>
  <c r="F21" i="4"/>
  <c r="G21" i="4" s="1"/>
  <c r="F18" i="4"/>
  <c r="G18" i="4" s="1"/>
  <c r="V10" i="4"/>
  <c r="F11" i="5"/>
  <c r="G11" i="5" s="1"/>
  <c r="F12" i="5"/>
  <c r="G12" i="5" s="1"/>
  <c r="J12" i="5" s="1"/>
  <c r="F10" i="5"/>
  <c r="F49" i="4"/>
  <c r="G49" i="4" s="1"/>
  <c r="F15" i="4"/>
  <c r="G15" i="4" s="1"/>
  <c r="F47" i="4"/>
  <c r="G47" i="4" s="1"/>
  <c r="J47" i="4" s="1"/>
  <c r="F10" i="4"/>
  <c r="F11" i="4"/>
  <c r="G11" i="4" s="1"/>
  <c r="I11" i="4" s="1"/>
  <c r="F12" i="4"/>
  <c r="G12" i="4" s="1"/>
  <c r="P10" i="4"/>
  <c r="F88" i="5"/>
  <c r="G88" i="5" s="1"/>
  <c r="F87" i="5"/>
  <c r="G87" i="5" s="1"/>
  <c r="F86" i="5"/>
  <c r="G86" i="5" s="1"/>
  <c r="J86" i="5" s="1"/>
  <c r="F85" i="5"/>
  <c r="G85" i="5" s="1"/>
  <c r="F84" i="5"/>
  <c r="G84" i="5" s="1"/>
  <c r="F83" i="5"/>
  <c r="G83" i="5" s="1"/>
  <c r="F82" i="5"/>
  <c r="G82" i="5" s="1"/>
  <c r="J82" i="5" s="1"/>
  <c r="F81" i="5"/>
  <c r="G81" i="5" s="1"/>
  <c r="F80" i="5"/>
  <c r="G80" i="5" s="1"/>
  <c r="J80" i="5" s="1"/>
  <c r="E75" i="5"/>
  <c r="F75" i="5" s="1"/>
  <c r="G75" i="5" s="1"/>
  <c r="I75" i="5" s="1"/>
  <c r="F74" i="5"/>
  <c r="G74" i="5" s="1"/>
  <c r="F73" i="5"/>
  <c r="G73" i="5" s="1"/>
  <c r="F70" i="5"/>
  <c r="G70" i="5" s="1"/>
  <c r="F67" i="5"/>
  <c r="G67" i="5" s="1"/>
  <c r="F64" i="5"/>
  <c r="G64" i="5" s="1"/>
  <c r="F61" i="5"/>
  <c r="G61" i="5" s="1"/>
  <c r="I61" i="5" s="1"/>
  <c r="F57" i="5"/>
  <c r="G57" i="5" s="1"/>
  <c r="F56" i="5"/>
  <c r="G56" i="5" s="1"/>
  <c r="F53" i="5"/>
  <c r="G53" i="5" s="1"/>
  <c r="J53" i="5" s="1"/>
  <c r="F51" i="5"/>
  <c r="G51" i="5" s="1"/>
  <c r="I51" i="5" s="1"/>
  <c r="F42" i="5"/>
  <c r="G42" i="5" s="1"/>
  <c r="I42" i="5" s="1"/>
  <c r="F41" i="5"/>
  <c r="G41" i="5" s="1"/>
  <c r="F40" i="5"/>
  <c r="G40" i="5" s="1"/>
  <c r="F39" i="5"/>
  <c r="G39" i="5" s="1"/>
  <c r="F36" i="5"/>
  <c r="G36" i="5" s="1"/>
  <c r="F33" i="5"/>
  <c r="G33" i="5" s="1"/>
  <c r="F30" i="5"/>
  <c r="G30" i="5" s="1"/>
  <c r="I30" i="5" s="1"/>
  <c r="F26" i="5"/>
  <c r="G26" i="5" s="1"/>
  <c r="I26" i="5" s="1"/>
  <c r="F16" i="5"/>
  <c r="G16" i="5" s="1"/>
  <c r="O88" i="5"/>
  <c r="P88" i="5" s="1"/>
  <c r="O87" i="5"/>
  <c r="P87" i="5" s="1"/>
  <c r="O86" i="5"/>
  <c r="P86" i="5" s="1"/>
  <c r="O85" i="5"/>
  <c r="P85" i="5" s="1"/>
  <c r="O83" i="5"/>
  <c r="P83" i="5" s="1"/>
  <c r="O82" i="5"/>
  <c r="P82" i="5" s="1"/>
  <c r="O81" i="5"/>
  <c r="P81" i="5" s="1"/>
  <c r="O80" i="5"/>
  <c r="P80" i="5" s="1"/>
  <c r="O57" i="5"/>
  <c r="P57" i="5" s="1"/>
  <c r="O56" i="5"/>
  <c r="P56" i="5" s="1"/>
  <c r="F22" i="5"/>
  <c r="G22" i="5" s="1"/>
  <c r="J22" i="5" s="1"/>
  <c r="F21" i="5"/>
  <c r="G21" i="5" s="1"/>
  <c r="F72" i="4"/>
  <c r="G72" i="4" s="1"/>
  <c r="F73" i="4"/>
  <c r="G73" i="4" s="1"/>
  <c r="F74" i="4"/>
  <c r="G74" i="4" s="1"/>
  <c r="J74" i="4" s="1"/>
  <c r="F75" i="4"/>
  <c r="G75" i="4" s="1"/>
  <c r="J75" i="4" s="1"/>
  <c r="K75" i="4" s="1"/>
  <c r="F76" i="4"/>
  <c r="G76" i="4" s="1"/>
  <c r="I76" i="4" s="1"/>
  <c r="L76" i="4" s="1"/>
  <c r="M76" i="4" s="1"/>
  <c r="F77" i="4"/>
  <c r="G77" i="4" s="1"/>
  <c r="J77" i="4" s="1"/>
  <c r="K77" i="4" s="1"/>
  <c r="F78" i="4"/>
  <c r="G78" i="4" s="1"/>
  <c r="F79" i="4"/>
  <c r="G79" i="4" s="1"/>
  <c r="F81" i="4"/>
  <c r="G81" i="4" s="1"/>
  <c r="F82" i="4"/>
  <c r="G82" i="4" s="1"/>
  <c r="I82" i="4" s="1"/>
  <c r="F83" i="4"/>
  <c r="G83" i="4" s="1"/>
  <c r="I83" i="4" s="1"/>
  <c r="F84" i="4"/>
  <c r="G84" i="4" s="1"/>
  <c r="J84" i="4" s="1"/>
  <c r="F66" i="4"/>
  <c r="G66" i="4" s="1"/>
  <c r="I66" i="4" s="1"/>
  <c r="F67" i="4"/>
  <c r="G67" i="4" s="1"/>
  <c r="F68" i="4"/>
  <c r="G68" i="4" s="1"/>
  <c r="F64" i="4"/>
  <c r="G64" i="4" s="1"/>
  <c r="J64" i="4" s="1"/>
  <c r="F62" i="4"/>
  <c r="G62" i="4" s="1"/>
  <c r="F60" i="4"/>
  <c r="G60" i="4" s="1"/>
  <c r="I60" i="4" s="1"/>
  <c r="F58" i="4"/>
  <c r="G58" i="4" s="1"/>
  <c r="F53" i="4"/>
  <c r="G53" i="4" s="1"/>
  <c r="J53" i="4" s="1"/>
  <c r="F54" i="4"/>
  <c r="G54" i="4" s="1"/>
  <c r="F51" i="4"/>
  <c r="G51" i="4" s="1"/>
  <c r="F36" i="4"/>
  <c r="G36" i="4" s="1"/>
  <c r="F37" i="4"/>
  <c r="G37" i="4" s="1"/>
  <c r="F38" i="4"/>
  <c r="G38" i="4" s="1"/>
  <c r="F39" i="4"/>
  <c r="G39" i="4" s="1"/>
  <c r="F40" i="4"/>
  <c r="G40" i="4" s="1"/>
  <c r="F41" i="4"/>
  <c r="G41" i="4" s="1"/>
  <c r="J41" i="4" s="1"/>
  <c r="K41" i="4" s="1"/>
  <c r="F34" i="4"/>
  <c r="G34" i="4" s="1"/>
  <c r="J34" i="4" s="1"/>
  <c r="F32" i="4"/>
  <c r="G32" i="4" s="1"/>
  <c r="F22" i="4"/>
  <c r="G22" i="4" s="1"/>
  <c r="I22" i="4" s="1"/>
  <c r="J80" i="4"/>
  <c r="K80" i="4" s="1"/>
  <c r="M82" i="4"/>
  <c r="N82" i="4" s="1"/>
  <c r="M84" i="4"/>
  <c r="N84" i="4" s="1"/>
  <c r="M83" i="4"/>
  <c r="N83" i="4" s="1"/>
  <c r="M81" i="4"/>
  <c r="N81" i="4" s="1"/>
  <c r="M54" i="4"/>
  <c r="N54" i="4" s="1"/>
  <c r="M53" i="4"/>
  <c r="N53" i="4" s="1"/>
  <c r="D13" i="5"/>
  <c r="D58" i="5"/>
  <c r="F79" i="5"/>
  <c r="G79" i="5" s="1"/>
  <c r="I83" i="5" s="1"/>
  <c r="F71" i="4"/>
  <c r="G71" i="4" s="1"/>
  <c r="I22" i="5"/>
  <c r="I21" i="5"/>
  <c r="H28" i="8" l="1"/>
  <c r="H57" i="8"/>
  <c r="H50" i="9"/>
  <c r="H9" i="9"/>
  <c r="K31" i="9"/>
  <c r="L31" i="9" s="1"/>
  <c r="K19" i="9"/>
  <c r="L19" i="9" s="1"/>
  <c r="J24" i="9"/>
  <c r="K24" i="9"/>
  <c r="L24" i="9" s="1"/>
  <c r="J19" i="9"/>
  <c r="M9" i="9"/>
  <c r="K34" i="9"/>
  <c r="L34" i="9" s="1"/>
  <c r="K38" i="9"/>
  <c r="L38" i="9" s="1"/>
  <c r="J38" i="9"/>
  <c r="K45" i="9"/>
  <c r="L45" i="9" s="1"/>
  <c r="J10" i="9"/>
  <c r="K10" i="9"/>
  <c r="L10" i="9" s="1"/>
  <c r="K16" i="9"/>
  <c r="K21" i="9"/>
  <c r="L21" i="9" s="1"/>
  <c r="J21" i="9"/>
  <c r="K30" i="9"/>
  <c r="J30" i="9"/>
  <c r="K49" i="9"/>
  <c r="L49" i="9" s="1"/>
  <c r="K43" i="9"/>
  <c r="L43" i="9" s="1"/>
  <c r="K9" i="9"/>
  <c r="K14" i="9" s="1"/>
  <c r="J9" i="9"/>
  <c r="K20" i="9"/>
  <c r="L20" i="9" s="1"/>
  <c r="J20" i="9"/>
  <c r="K46" i="9"/>
  <c r="L46" i="9" s="1"/>
  <c r="K22" i="9"/>
  <c r="L22" i="9" s="1"/>
  <c r="J22" i="9"/>
  <c r="K36" i="9"/>
  <c r="L36" i="9" s="1"/>
  <c r="J36" i="9"/>
  <c r="K47" i="9"/>
  <c r="L47" i="9" s="1"/>
  <c r="K39" i="9"/>
  <c r="J39" i="9"/>
  <c r="K40" i="9"/>
  <c r="L40" i="9" s="1"/>
  <c r="J40" i="9"/>
  <c r="K13" i="9"/>
  <c r="L13" i="9" s="1"/>
  <c r="J13" i="9"/>
  <c r="K41" i="9"/>
  <c r="L41" i="9" s="1"/>
  <c r="J41" i="9"/>
  <c r="J11" i="9"/>
  <c r="K11" i="9"/>
  <c r="L11" i="9" s="1"/>
  <c r="K23" i="9"/>
  <c r="L23" i="9" s="1"/>
  <c r="J23" i="9"/>
  <c r="K37" i="9"/>
  <c r="L37" i="9" s="1"/>
  <c r="J37" i="9"/>
  <c r="K42" i="9"/>
  <c r="J12" i="9"/>
  <c r="K25" i="9"/>
  <c r="L25" i="9" s="1"/>
  <c r="K32" i="9"/>
  <c r="L32" i="9" s="1"/>
  <c r="K35" i="9"/>
  <c r="L35" i="9" s="1"/>
  <c r="J43" i="9"/>
  <c r="K44" i="9"/>
  <c r="L44" i="9" s="1"/>
  <c r="J47" i="9"/>
  <c r="K48" i="9"/>
  <c r="L48" i="9" s="1"/>
  <c r="J42" i="9"/>
  <c r="J46" i="9"/>
  <c r="K18" i="9"/>
  <c r="L18" i="9" s="1"/>
  <c r="K33" i="9"/>
  <c r="K12" i="9"/>
  <c r="L12" i="9" s="1"/>
  <c r="J18" i="9"/>
  <c r="J45" i="9"/>
  <c r="J49" i="9"/>
  <c r="K54" i="8"/>
  <c r="L54" i="8" s="1"/>
  <c r="O17" i="8"/>
  <c r="H9" i="8"/>
  <c r="H14" i="8" s="1"/>
  <c r="H29" i="8" s="1"/>
  <c r="S9" i="8"/>
  <c r="K44" i="8"/>
  <c r="L44" i="8" s="1"/>
  <c r="J44" i="8"/>
  <c r="K23" i="8"/>
  <c r="L23" i="8" s="1"/>
  <c r="J23" i="8"/>
  <c r="K36" i="8"/>
  <c r="L36" i="8" s="1"/>
  <c r="J36" i="8"/>
  <c r="J50" i="8"/>
  <c r="M50" i="8" s="1"/>
  <c r="N50" i="8" s="1"/>
  <c r="K50" i="8"/>
  <c r="L50" i="8" s="1"/>
  <c r="K24" i="8"/>
  <c r="L24" i="8" s="1"/>
  <c r="J24" i="8"/>
  <c r="K52" i="8"/>
  <c r="L52" i="8" s="1"/>
  <c r="J42" i="8"/>
  <c r="K42" i="8"/>
  <c r="L42" i="8" s="1"/>
  <c r="K48" i="8"/>
  <c r="L48" i="8" s="1"/>
  <c r="J9" i="8"/>
  <c r="K45" i="8"/>
  <c r="L45" i="8" s="1"/>
  <c r="J45" i="8"/>
  <c r="K16" i="8"/>
  <c r="J16" i="8"/>
  <c r="K39" i="8"/>
  <c r="L39" i="8" s="1"/>
  <c r="J39" i="8"/>
  <c r="K22" i="8"/>
  <c r="L22" i="8" s="1"/>
  <c r="J22" i="8"/>
  <c r="J49" i="8"/>
  <c r="M49" i="8" s="1"/>
  <c r="N49" i="8" s="1"/>
  <c r="K49" i="8"/>
  <c r="L49" i="8" s="1"/>
  <c r="K13" i="8"/>
  <c r="L13" i="8" s="1"/>
  <c r="J13" i="8"/>
  <c r="K18" i="8"/>
  <c r="L18" i="8" s="1"/>
  <c r="J18" i="8"/>
  <c r="K25" i="8"/>
  <c r="L25" i="8" s="1"/>
  <c r="J25" i="8"/>
  <c r="K56" i="8"/>
  <c r="J56" i="8"/>
  <c r="K34" i="8"/>
  <c r="J34" i="8"/>
  <c r="K19" i="8"/>
  <c r="L19" i="8" s="1"/>
  <c r="J19" i="8"/>
  <c r="K26" i="8"/>
  <c r="L26" i="8" s="1"/>
  <c r="J26" i="8"/>
  <c r="K47" i="8"/>
  <c r="L47" i="8" s="1"/>
  <c r="J47" i="8"/>
  <c r="M47" i="8" s="1"/>
  <c r="N47" i="8" s="1"/>
  <c r="K35" i="8"/>
  <c r="L35" i="8" s="1"/>
  <c r="J35" i="8"/>
  <c r="K55" i="8"/>
  <c r="L55" i="8" s="1"/>
  <c r="J55" i="8"/>
  <c r="K12" i="8"/>
  <c r="L12" i="8" s="1"/>
  <c r="J12" i="8"/>
  <c r="K53" i="8"/>
  <c r="L53" i="8" s="1"/>
  <c r="J53" i="8"/>
  <c r="K27" i="8"/>
  <c r="L27" i="8" s="1"/>
  <c r="J27" i="8"/>
  <c r="K51" i="8"/>
  <c r="L51" i="8" s="1"/>
  <c r="J51" i="8"/>
  <c r="M51" i="8" s="1"/>
  <c r="N51" i="8" s="1"/>
  <c r="K11" i="8"/>
  <c r="L11" i="8" s="1"/>
  <c r="K21" i="8"/>
  <c r="L21" i="8" s="1"/>
  <c r="K41" i="8"/>
  <c r="L41" i="8" s="1"/>
  <c r="L46" i="8"/>
  <c r="J37" i="8"/>
  <c r="K38" i="8"/>
  <c r="L38" i="8" s="1"/>
  <c r="J40" i="8"/>
  <c r="K43" i="8"/>
  <c r="K10" i="8"/>
  <c r="L10" i="8" s="1"/>
  <c r="K17" i="8"/>
  <c r="L17" i="8" s="1"/>
  <c r="K20" i="8"/>
  <c r="L20" i="8" s="1"/>
  <c r="K37" i="8"/>
  <c r="K40" i="8"/>
  <c r="L40" i="8" s="1"/>
  <c r="J20" i="8"/>
  <c r="J48" i="8"/>
  <c r="M48" i="8" s="1"/>
  <c r="N48" i="8" s="1"/>
  <c r="J52" i="8"/>
  <c r="M52" i="8" s="1"/>
  <c r="N52" i="8" s="1"/>
  <c r="J46" i="8"/>
  <c r="M46" i="8" s="1"/>
  <c r="N46" i="8" s="1"/>
  <c r="I48" i="5"/>
  <c r="J48" i="5"/>
  <c r="K48" i="5" s="1"/>
  <c r="G23" i="5"/>
  <c r="I18" i="5"/>
  <c r="J18" i="5"/>
  <c r="K18" i="5" s="1"/>
  <c r="G10" i="5"/>
  <c r="J10" i="5" s="1"/>
  <c r="L13" i="5"/>
  <c r="M14" i="5" s="1"/>
  <c r="M15" i="5" s="1"/>
  <c r="I88" i="5"/>
  <c r="I85" i="5"/>
  <c r="I86" i="5"/>
  <c r="J84" i="5"/>
  <c r="K84" i="5" s="1"/>
  <c r="I53" i="5"/>
  <c r="I87" i="5"/>
  <c r="J70" i="5"/>
  <c r="K70" i="5" s="1"/>
  <c r="I70" i="5"/>
  <c r="J11" i="5"/>
  <c r="K11" i="5" s="1"/>
  <c r="I11" i="5"/>
  <c r="G58" i="5"/>
  <c r="I57" i="5"/>
  <c r="I56" i="5"/>
  <c r="J88" i="5"/>
  <c r="K88" i="5" s="1"/>
  <c r="K86" i="5"/>
  <c r="I81" i="5"/>
  <c r="I82" i="5"/>
  <c r="I67" i="5"/>
  <c r="I64" i="4"/>
  <c r="J29" i="4"/>
  <c r="K29" i="4" s="1"/>
  <c r="I29" i="4"/>
  <c r="I67" i="4"/>
  <c r="J67" i="4"/>
  <c r="K67" i="4" s="1"/>
  <c r="J76" i="4"/>
  <c r="K76" i="4" s="1"/>
  <c r="J66" i="4"/>
  <c r="K66" i="4" s="1"/>
  <c r="J26" i="4"/>
  <c r="K26" i="4" s="1"/>
  <c r="I26" i="4"/>
  <c r="J21" i="4"/>
  <c r="K21" i="4" s="1"/>
  <c r="I21" i="4"/>
  <c r="I74" i="4"/>
  <c r="L74" i="4" s="1"/>
  <c r="M74" i="4" s="1"/>
  <c r="K74" i="4"/>
  <c r="N10" i="4"/>
  <c r="R10" i="4" s="1"/>
  <c r="J18" i="4"/>
  <c r="K18" i="4" s="1"/>
  <c r="I18" i="4"/>
  <c r="J12" i="4"/>
  <c r="K12" i="4" s="1"/>
  <c r="I12" i="4"/>
  <c r="I49" i="4"/>
  <c r="J49" i="4"/>
  <c r="K49" i="4" s="1"/>
  <c r="J78" i="4"/>
  <c r="K78" i="4" s="1"/>
  <c r="I78" i="4"/>
  <c r="L78" i="4" s="1"/>
  <c r="M78" i="4" s="1"/>
  <c r="J60" i="4"/>
  <c r="I77" i="4"/>
  <c r="L77" i="4" s="1"/>
  <c r="M77" i="4" s="1"/>
  <c r="I84" i="4"/>
  <c r="J33" i="5"/>
  <c r="K33" i="5" s="1"/>
  <c r="I33" i="5"/>
  <c r="J15" i="4"/>
  <c r="K15" i="4" s="1"/>
  <c r="G43" i="5"/>
  <c r="J87" i="5"/>
  <c r="K87" i="5" s="1"/>
  <c r="J64" i="5"/>
  <c r="K64" i="5" s="1"/>
  <c r="I64" i="5"/>
  <c r="J83" i="5"/>
  <c r="K83" i="5" s="1"/>
  <c r="G89" i="5"/>
  <c r="J56" i="5"/>
  <c r="K56" i="5" s="1"/>
  <c r="J61" i="5"/>
  <c r="K61" i="5" s="1"/>
  <c r="G76" i="5"/>
  <c r="J73" i="5"/>
  <c r="K73" i="5" s="1"/>
  <c r="I73" i="5"/>
  <c r="J81" i="5"/>
  <c r="I74" i="5"/>
  <c r="J74" i="5"/>
  <c r="K74" i="5" s="1"/>
  <c r="J85" i="5"/>
  <c r="K85" i="5" s="1"/>
  <c r="J51" i="5"/>
  <c r="J57" i="5"/>
  <c r="K57" i="5" s="1"/>
  <c r="J67" i="5"/>
  <c r="J75" i="5"/>
  <c r="K75" i="5" s="1"/>
  <c r="K82" i="5"/>
  <c r="I80" i="5"/>
  <c r="K53" i="5"/>
  <c r="K80" i="5"/>
  <c r="K22" i="5"/>
  <c r="I39" i="5"/>
  <c r="J39" i="5"/>
  <c r="K39" i="5" s="1"/>
  <c r="I40" i="5"/>
  <c r="J40" i="5"/>
  <c r="K40" i="5" s="1"/>
  <c r="J16" i="5"/>
  <c r="I16" i="5"/>
  <c r="J41" i="5"/>
  <c r="K41" i="5" s="1"/>
  <c r="I41" i="5"/>
  <c r="J21" i="5"/>
  <c r="J42" i="5"/>
  <c r="K42" i="5" s="1"/>
  <c r="J30" i="5"/>
  <c r="I36" i="5"/>
  <c r="J36" i="5"/>
  <c r="J26" i="5"/>
  <c r="J32" i="4"/>
  <c r="K32" i="4" s="1"/>
  <c r="I32" i="4"/>
  <c r="J11" i="4"/>
  <c r="K11" i="4" s="1"/>
  <c r="I38" i="4"/>
  <c r="J38" i="4"/>
  <c r="K38" i="4" s="1"/>
  <c r="I37" i="4"/>
  <c r="J37" i="4"/>
  <c r="K37" i="4" s="1"/>
  <c r="I15" i="4"/>
  <c r="I41" i="4"/>
  <c r="I34" i="4"/>
  <c r="K34" i="4"/>
  <c r="I47" i="4"/>
  <c r="K47" i="4"/>
  <c r="G42" i="4"/>
  <c r="J36" i="4"/>
  <c r="K36" i="4" s="1"/>
  <c r="I36" i="4"/>
  <c r="J79" i="4"/>
  <c r="K79" i="4" s="1"/>
  <c r="I79" i="4"/>
  <c r="L79" i="4" s="1"/>
  <c r="M79" i="4" s="1"/>
  <c r="I58" i="4"/>
  <c r="J58" i="4"/>
  <c r="K58" i="4" s="1"/>
  <c r="J62" i="4"/>
  <c r="I62" i="4"/>
  <c r="J40" i="4"/>
  <c r="K40" i="4" s="1"/>
  <c r="I40" i="4"/>
  <c r="I39" i="4"/>
  <c r="J39" i="4"/>
  <c r="K39" i="4" s="1"/>
  <c r="J51" i="4"/>
  <c r="I51" i="4"/>
  <c r="G69" i="4"/>
  <c r="I68" i="4"/>
  <c r="J68" i="4"/>
  <c r="I54" i="4"/>
  <c r="J54" i="4"/>
  <c r="K54" i="4" s="1"/>
  <c r="K64" i="4"/>
  <c r="J73" i="4"/>
  <c r="K73" i="4" s="1"/>
  <c r="K53" i="4"/>
  <c r="I72" i="4"/>
  <c r="J72" i="4"/>
  <c r="K72" i="4" s="1"/>
  <c r="G55" i="4"/>
  <c r="I53" i="4"/>
  <c r="J83" i="4"/>
  <c r="K83" i="4" s="1"/>
  <c r="J82" i="4"/>
  <c r="K82" i="4" s="1"/>
  <c r="K84" i="4"/>
  <c r="I81" i="4"/>
  <c r="J81" i="4"/>
  <c r="K81" i="4" s="1"/>
  <c r="I73" i="4"/>
  <c r="L73" i="4" s="1"/>
  <c r="M73" i="4" s="1"/>
  <c r="G23" i="4"/>
  <c r="J22" i="4"/>
  <c r="K12" i="5"/>
  <c r="I12" i="5"/>
  <c r="J28" i="8" l="1"/>
  <c r="J29" i="8" s="1"/>
  <c r="K28" i="8"/>
  <c r="L34" i="8"/>
  <c r="K57" i="8"/>
  <c r="H14" i="9"/>
  <c r="L30" i="9"/>
  <c r="K50" i="9"/>
  <c r="L39" i="9"/>
  <c r="L9" i="9"/>
  <c r="L14" i="9" s="1"/>
  <c r="L42" i="9"/>
  <c r="L16" i="9"/>
  <c r="L33" i="9"/>
  <c r="K9" i="8"/>
  <c r="K14" i="8" s="1"/>
  <c r="K29" i="8" s="1"/>
  <c r="J57" i="8"/>
  <c r="P9" i="8"/>
  <c r="T9" i="8" s="1"/>
  <c r="L43" i="8"/>
  <c r="L37" i="8"/>
  <c r="L16" i="8"/>
  <c r="L28" i="8" s="1"/>
  <c r="L56" i="8"/>
  <c r="I10" i="5"/>
  <c r="K10" i="5"/>
  <c r="G13" i="5"/>
  <c r="K21" i="5"/>
  <c r="K23" i="5" s="1"/>
  <c r="J23" i="5"/>
  <c r="I89" i="5"/>
  <c r="I76" i="5"/>
  <c r="K76" i="5"/>
  <c r="J89" i="5"/>
  <c r="I58" i="5"/>
  <c r="I69" i="4"/>
  <c r="J69" i="4"/>
  <c r="K60" i="4"/>
  <c r="K68" i="4"/>
  <c r="K69" i="4" s="1"/>
  <c r="K81" i="5"/>
  <c r="K89" i="5" s="1"/>
  <c r="K30" i="5"/>
  <c r="K58" i="5"/>
  <c r="J58" i="5"/>
  <c r="I43" i="5"/>
  <c r="J76" i="5"/>
  <c r="K67" i="5"/>
  <c r="K51" i="5"/>
  <c r="K16" i="5"/>
  <c r="K26" i="5"/>
  <c r="K36" i="5"/>
  <c r="Q10" i="4"/>
  <c r="I55" i="4"/>
  <c r="K55" i="4"/>
  <c r="K51" i="4"/>
  <c r="K62" i="4"/>
  <c r="K42" i="4"/>
  <c r="I42" i="4"/>
  <c r="J23" i="4"/>
  <c r="L72" i="4"/>
  <c r="M72" i="4" s="1"/>
  <c r="J55" i="4"/>
  <c r="J42" i="4"/>
  <c r="I23" i="4"/>
  <c r="K22" i="4"/>
  <c r="K23" i="4" s="1"/>
  <c r="J13" i="5"/>
  <c r="I13" i="5"/>
  <c r="K13" i="5"/>
  <c r="L57" i="8" l="1"/>
  <c r="L50" i="9"/>
  <c r="L9" i="8"/>
  <c r="J43" i="5"/>
  <c r="I92" i="5"/>
  <c r="J92" i="5"/>
  <c r="G92" i="5"/>
  <c r="K43" i="5"/>
  <c r="K44" i="5" s="1"/>
  <c r="L14" i="8" l="1"/>
  <c r="L29" i="8" s="1"/>
  <c r="K92" i="5"/>
  <c r="N19" i="4"/>
  <c r="N22" i="4" s="1"/>
  <c r="O23" i="4" s="1"/>
  <c r="O24" i="4" s="1"/>
  <c r="G10" i="4"/>
  <c r="J10" i="4" s="1"/>
  <c r="J13" i="4" s="1"/>
  <c r="J43" i="4" s="1"/>
  <c r="J86" i="4" s="1"/>
  <c r="K10" i="4" l="1"/>
  <c r="K13" i="4" s="1"/>
  <c r="I10" i="4"/>
  <c r="I13" i="4" s="1"/>
  <c r="I43" i="4" s="1"/>
  <c r="I86" i="4" s="1"/>
  <c r="G13" i="4"/>
  <c r="G43" i="4" s="1"/>
  <c r="G86" i="4" s="1"/>
  <c r="O10" i="4" l="1"/>
  <c r="S10" i="4" s="1"/>
  <c r="K43" i="4"/>
  <c r="K86" i="4" s="1"/>
</calcChain>
</file>

<file path=xl/sharedStrings.xml><?xml version="1.0" encoding="utf-8"?>
<sst xmlns="http://schemas.openxmlformats.org/spreadsheetml/2006/main" count="654" uniqueCount="296">
  <si>
    <t>Description</t>
  </si>
  <si>
    <t>Rest Shelter and office building</t>
  </si>
  <si>
    <t>Plant executive building</t>
  </si>
  <si>
    <t>Toilet Block</t>
  </si>
  <si>
    <t>Reservoir</t>
  </si>
  <si>
    <t>Pump House</t>
  </si>
  <si>
    <t>Substations</t>
  </si>
  <si>
    <t>Plastering</t>
  </si>
  <si>
    <t xml:space="preserve">Earth work in formation </t>
  </si>
  <si>
    <t>Base</t>
  </si>
  <si>
    <t>Bitumen topping</t>
  </si>
  <si>
    <t>Crushed Stone</t>
  </si>
  <si>
    <t>Sl. No.</t>
  </si>
  <si>
    <t>Excavation</t>
  </si>
  <si>
    <t xml:space="preserve">Plain Cemenrt Concrete </t>
  </si>
  <si>
    <t>Reinforced Cement Concrete</t>
  </si>
  <si>
    <t>Brickwork</t>
  </si>
  <si>
    <t>Reinforcement Steel Works</t>
  </si>
  <si>
    <t>Doors, Windows &amp; Ventilation</t>
  </si>
  <si>
    <t>Flooring Work</t>
  </si>
  <si>
    <t>Road &amp; Paved areas</t>
  </si>
  <si>
    <t>GST 18%</t>
  </si>
  <si>
    <t>Payment for work partially completed during the period shall be made on a pro-rata basis.</t>
  </si>
  <si>
    <t>Billing Schedule for Civil Engineering Works including all Supplies (Deposit 14)</t>
  </si>
  <si>
    <t xml:space="preserve">% Progress </t>
  </si>
  <si>
    <t>C.1</t>
  </si>
  <si>
    <t>C.1.2</t>
  </si>
  <si>
    <t>C.1.24</t>
  </si>
  <si>
    <t>C.1.25</t>
  </si>
  <si>
    <t>C.2</t>
  </si>
  <si>
    <t>C.2.1</t>
  </si>
  <si>
    <t>C.3</t>
  </si>
  <si>
    <t>C.3.1</t>
  </si>
  <si>
    <t>C.4</t>
  </si>
  <si>
    <t>C.4.1</t>
  </si>
  <si>
    <t>C.4.1.1</t>
  </si>
  <si>
    <t>C.5</t>
  </si>
  <si>
    <t>C.5.1</t>
  </si>
  <si>
    <t>C.6</t>
  </si>
  <si>
    <t>C.6.1</t>
  </si>
  <si>
    <t>C.7</t>
  </si>
  <si>
    <t>C.7.1</t>
  </si>
  <si>
    <t>C.8</t>
  </si>
  <si>
    <t>C.8.1.1</t>
  </si>
  <si>
    <t>C.9</t>
  </si>
  <si>
    <t>C.9.1.1</t>
  </si>
  <si>
    <t>C.9.1.2</t>
  </si>
  <si>
    <t>C.9.1.3</t>
  </si>
  <si>
    <t>C.9.2</t>
  </si>
  <si>
    <t>The figures are notional and for billing purposes only. The scope mentioned in the Agreement shall remain unchanged. GST shall be paid on corresponding invoice value i.e., 77.5%.</t>
  </si>
  <si>
    <t>B.</t>
  </si>
  <si>
    <t>C.</t>
  </si>
  <si>
    <t>If any items/work is not included in the Billing schedule but is required for completion of the project within Battery limit as per contract , the same shall be completed by contractor without any additional price claimed to NMDC.</t>
  </si>
  <si>
    <t>A.</t>
  </si>
  <si>
    <t xml:space="preserve">Note: </t>
  </si>
  <si>
    <t>Contract Agreement no. HO(Contracts)/NCP&amp;DHCS/DEP-14&amp;11C/945/310/227 dated 28.03.2025</t>
  </si>
  <si>
    <t>D.1</t>
  </si>
  <si>
    <t>D.1.1</t>
  </si>
  <si>
    <t>D.1.18</t>
  </si>
  <si>
    <t>D.1.19</t>
  </si>
  <si>
    <t>D.2</t>
  </si>
  <si>
    <t>D.2.1</t>
  </si>
  <si>
    <t>D.3</t>
  </si>
  <si>
    <t>D.3.1.1</t>
  </si>
  <si>
    <t>D.4</t>
  </si>
  <si>
    <t>D.4.1.1</t>
  </si>
  <si>
    <t>D.6.1.1</t>
  </si>
  <si>
    <t>D.5</t>
  </si>
  <si>
    <t>D.5.1</t>
  </si>
  <si>
    <t>D.5.1.1</t>
  </si>
  <si>
    <t>D.6</t>
  </si>
  <si>
    <t>D.6.1</t>
  </si>
  <si>
    <t>D.7</t>
  </si>
  <si>
    <t>D.7.1</t>
  </si>
  <si>
    <t>D.8</t>
  </si>
  <si>
    <t>D.8.1.1</t>
  </si>
  <si>
    <t>Civil Engineering Work
Clause no. 1 of Table 4A (Deposit - 11C ) of Price Schedule for Civil Engineering Works including all Supplies  of Appendix -1 of Contract Voulme of Contract Agreement between SKSL &amp; NMDC.</t>
  </si>
  <si>
    <t>Civil Engineering Work
Clause no. 1 of Table 4A (Deposit - 14 ) of Price Schedule for Civil Engineering Works including all Supplies of Appendix -1 of Contract Voulme of Contract Agreement between SKSL &amp; NMDC.</t>
  </si>
  <si>
    <t>D</t>
  </si>
  <si>
    <t>E</t>
  </si>
  <si>
    <t>Sub Total</t>
  </si>
  <si>
    <t xml:space="preserve">Substation (D14-SS#1), </t>
  </si>
  <si>
    <t>Substation (D14-SS#2)</t>
  </si>
  <si>
    <t>Substation (D14-SS#3)</t>
  </si>
  <si>
    <t>Substation (D14-SS#4)</t>
  </si>
  <si>
    <t>Sub total</t>
  </si>
  <si>
    <t>F</t>
  </si>
  <si>
    <t>Toe/ Retaining wall</t>
  </si>
  <si>
    <t>C.9.3</t>
  </si>
  <si>
    <t>Excavation work</t>
  </si>
  <si>
    <t>PCC work</t>
  </si>
  <si>
    <t>RCC Work</t>
  </si>
  <si>
    <t>C.9.1.4</t>
  </si>
  <si>
    <t>C.10</t>
  </si>
  <si>
    <t>C.10.1</t>
  </si>
  <si>
    <t>D.4.1.3</t>
  </si>
  <si>
    <t>Earth work in formation and consolidation after testing</t>
  </si>
  <si>
    <t>The Billing schedule shall be revised (maximum twice) during contractual period, if required keeping the total contract price unaltered.</t>
  </si>
  <si>
    <t>Lumpsum</t>
  </si>
  <si>
    <t>Unit</t>
  </si>
  <si>
    <t>Cum</t>
  </si>
  <si>
    <t>MT</t>
  </si>
  <si>
    <t>Sqm</t>
  </si>
  <si>
    <t xml:space="preserve">Culvert/Hume Pipe </t>
  </si>
  <si>
    <t>Slope Protection</t>
  </si>
  <si>
    <t>Lump Sum</t>
  </si>
  <si>
    <t>Revision - R3</t>
  </si>
  <si>
    <t>Back Filling</t>
  </si>
  <si>
    <t>RMT</t>
  </si>
  <si>
    <t>Approx. Qty.</t>
  </si>
  <si>
    <t>77.5% of Basic Rate</t>
  </si>
  <si>
    <t>77.5% of Basic value</t>
  </si>
  <si>
    <t>Basic Rate (Rs)</t>
  </si>
  <si>
    <t>Progress Amount (Rs)</t>
  </si>
  <si>
    <t>77.5% Gross Value (Rs)</t>
  </si>
  <si>
    <t>6=(5 x 77.5%)</t>
  </si>
  <si>
    <t>7 = (4 x 6)</t>
  </si>
  <si>
    <t>8</t>
  </si>
  <si>
    <t>9=7 x 8</t>
  </si>
  <si>
    <t>G</t>
  </si>
  <si>
    <t>ANCILLIARY FACILITIES</t>
  </si>
  <si>
    <t>C.11</t>
  </si>
  <si>
    <t>C.11.1</t>
  </si>
  <si>
    <t>C.12</t>
  </si>
  <si>
    <t>C.12.1</t>
  </si>
  <si>
    <t>C.13</t>
  </si>
  <si>
    <t>C.14</t>
  </si>
  <si>
    <t>C.14.1</t>
  </si>
  <si>
    <t>C.15</t>
  </si>
  <si>
    <t>C.15.1</t>
  </si>
  <si>
    <t>C.16</t>
  </si>
  <si>
    <t>C.16.1</t>
  </si>
  <si>
    <t>C.17</t>
  </si>
  <si>
    <t>C.17.1</t>
  </si>
  <si>
    <t>C.18</t>
  </si>
  <si>
    <t>C.18.1</t>
  </si>
  <si>
    <t>C.18.2</t>
  </si>
  <si>
    <t>C.18.3</t>
  </si>
  <si>
    <t>C.19</t>
  </si>
  <si>
    <t>C.19.1</t>
  </si>
  <si>
    <t>C.19.2</t>
  </si>
  <si>
    <t>C.19.3</t>
  </si>
  <si>
    <t>TOTAL FOR INDUSTRIAL BUILDINGS</t>
  </si>
  <si>
    <t>GRAND TOTAL</t>
  </si>
  <si>
    <t>TOTAL FOR ANCILLIARY FACILITIES</t>
  </si>
  <si>
    <t>D.10.1</t>
  </si>
  <si>
    <t>D.11.1</t>
  </si>
  <si>
    <t>D.12.1</t>
  </si>
  <si>
    <t>D.13</t>
  </si>
  <si>
    <t>D.13.1.1</t>
  </si>
  <si>
    <t>D.13.1.3</t>
  </si>
  <si>
    <t>D.14</t>
  </si>
  <si>
    <t>D.14.1</t>
  </si>
  <si>
    <t>D.15</t>
  </si>
  <si>
    <t>D.15.1</t>
  </si>
  <si>
    <t>D.16</t>
  </si>
  <si>
    <t>D.16.1</t>
  </si>
  <si>
    <t>D.17</t>
  </si>
  <si>
    <t>D.17.1</t>
  </si>
  <si>
    <t>D.18</t>
  </si>
  <si>
    <t>D.18.1</t>
  </si>
  <si>
    <t>D.18.2</t>
  </si>
  <si>
    <t>D.18.3</t>
  </si>
  <si>
    <t>D.19</t>
  </si>
  <si>
    <t>D.19.1</t>
  </si>
  <si>
    <t>D.19.1.1</t>
  </si>
  <si>
    <t>D.19.1.2</t>
  </si>
  <si>
    <t>D.19.1.3</t>
  </si>
  <si>
    <t>D.19.1.4</t>
  </si>
  <si>
    <t>D.19.2</t>
  </si>
  <si>
    <t>D.19.2.1</t>
  </si>
  <si>
    <t>D.19.2.2</t>
  </si>
  <si>
    <t>D.19.2.3</t>
  </si>
  <si>
    <t>D.19.2.4</t>
  </si>
  <si>
    <t>C.13.1.1</t>
  </si>
  <si>
    <t>C.13.1.3</t>
  </si>
  <si>
    <t>C.19.1.1</t>
  </si>
  <si>
    <t>C.19.1.2</t>
  </si>
  <si>
    <t>C.19.1.3</t>
  </si>
  <si>
    <t>C.19.2.1</t>
  </si>
  <si>
    <t>C.19.2.2</t>
  </si>
  <si>
    <t>C.19.2.3</t>
  </si>
  <si>
    <t>C.19.2.4</t>
  </si>
  <si>
    <t>C.19.3.1</t>
  </si>
  <si>
    <t>C.19.3.2</t>
  </si>
  <si>
    <t>C.19.3.3</t>
  </si>
  <si>
    <t>C.19.3.4</t>
  </si>
  <si>
    <t>Design, Engineering, Manufacture, Supply, Storage &amp; handling at site, Construction including enabling work, Erection, Testing, Commissioning and Demonstration of Performance Guarantee of New Crushing Plant &amp; Downhill Conveyor System of Deposit 14 and 11C at Bailadila Iron Ore Mines, NMDC, Kirandul Complex (Chhattisgarh) on Turnkey basis.</t>
  </si>
  <si>
    <t>Billing Schedule for Civil Engineering Works including all Supplies (Deposit 11C)</t>
  </si>
  <si>
    <t>TOTAL FOR ANCILLIARY BUILDINGS</t>
  </si>
  <si>
    <t>Industrial building and Ancilliary facilties have been divided as per the list provided by NMDC through e-mail dt. 13.10.25</t>
  </si>
  <si>
    <t>As per clause 4.2 ( Page no- 6 of 238 ) under Commercial Contract Agreement , if actual quantities/ weights differ from the indicated , neither the contractor shall be entitled to get any additional price from  the Employer or  the Employer entitled to deduct any amount from the contract price due to variation in physical quantities/weight.</t>
  </si>
  <si>
    <t>As desired by NMDC, the quantity and rate break-up has been indicated, which may vary during execution as per detailed engineering, while keeping the total amount shown against each item fixed.</t>
  </si>
  <si>
    <t>INDUSTRIAL BUILDINGS / FACILITIES</t>
  </si>
  <si>
    <t>INDUSTRIAL BUILDINGS/ FACILITIES</t>
  </si>
  <si>
    <t>The total amount shown against each items are  fixed, however as desired by NMDC, the quantity and rate break-up has been indicated, which may vary during execution as per detailed engineering.</t>
  </si>
  <si>
    <t>8= (7 x 18%)</t>
  </si>
  <si>
    <t>9 =(8+7)</t>
  </si>
  <si>
    <t>E/W</t>
  </si>
  <si>
    <t>I/B</t>
  </si>
  <si>
    <t>A/B</t>
  </si>
  <si>
    <t>Total</t>
  </si>
  <si>
    <t>9 =(7+8)</t>
  </si>
  <si>
    <t>Header Line Item</t>
  </si>
  <si>
    <t>Service Item</t>
  </si>
  <si>
    <t>110/270</t>
  </si>
  <si>
    <t xml:space="preserve">Drain </t>
  </si>
  <si>
    <t xml:space="preserve">Road </t>
  </si>
  <si>
    <t xml:space="preserve">Haul Road </t>
  </si>
  <si>
    <t>130/290</t>
  </si>
  <si>
    <t>cum</t>
  </si>
  <si>
    <t>sqm</t>
  </si>
  <si>
    <t>Excavation for ancilliary facilities.</t>
  </si>
  <si>
    <t>PCC for for ancilliary facilities.</t>
  </si>
  <si>
    <t>RCC for for ancilliary facilities.</t>
  </si>
  <si>
    <t>On Cutting, Bending &amp; Fixing of Reinforcement Steel - For for ancilliary facilities.</t>
  </si>
  <si>
    <t>On supply of Reinforcement Steel - For for ancilliary facilities.</t>
  </si>
  <si>
    <t>Brickwork for ancilliary facilities.</t>
  </si>
  <si>
    <t>Doors, Windows &amp; Ventilation for for ancilliary facilities.</t>
  </si>
  <si>
    <t>Flooring Work for for ancilliary facilities.</t>
  </si>
  <si>
    <t>Excavation for industrial buildings/ facilities</t>
  </si>
  <si>
    <t>PCC for industrial buildings/ facilities</t>
  </si>
  <si>
    <t>RCC for industrial buildings/ facilities</t>
  </si>
  <si>
    <t>On supply of reinforcement steel -For industrial buildings/ facilities</t>
  </si>
  <si>
    <t>On cutting, bending and fixing of reinforcement steel - For industrial buildings/ facilities</t>
  </si>
  <si>
    <t>Brickwork for industrial buildings/ facilities</t>
  </si>
  <si>
    <t>Door, Windows and Ventilators for industrial buildings/ facilities</t>
  </si>
  <si>
    <t>Flooring Work for industrial buildings/ facilities</t>
  </si>
  <si>
    <t>Plastering Work for industrial buildings/ facilities</t>
  </si>
  <si>
    <t>PCC for ancilliary facilities.</t>
  </si>
  <si>
    <t>RCC for ancilliary facilities.</t>
  </si>
  <si>
    <t>Doors, Windows and Ventilators- for ancilliary facilities.</t>
  </si>
  <si>
    <t>Flooring work for ancilliary facilities.</t>
  </si>
  <si>
    <t>Plastering Work for ancilliary facilities.</t>
  </si>
  <si>
    <t>RCC for all industrial buildings / facilities</t>
  </si>
  <si>
    <t>On supply of reinforcement steel -For all industrial building and facilities</t>
  </si>
  <si>
    <t>On cutting, bending and fixing of reinforcement steel -For all industrial building and facilities</t>
  </si>
  <si>
    <t>Brick work for all industrial buildings / facilities</t>
  </si>
  <si>
    <t>Doors, windows and ventilators for all industrial buildings / facilities</t>
  </si>
  <si>
    <t>Flooring Work for all industrial buildings / facilities</t>
  </si>
  <si>
    <t>Plastrering Work for all industrial buildings / facilities</t>
  </si>
  <si>
    <t>Roof Treatment, Painting, Plumbing, Jigs &amp; Fixtures including all finishing items for all industrial buildings / facilities</t>
  </si>
  <si>
    <t>Plastering for ancilliary facilities.</t>
  </si>
  <si>
    <t>Roof Treatment, Painting, Plumbing, Jigs &amp; Fixtures including all finishing items for ancilliary facilities</t>
  </si>
  <si>
    <t>Roof Treatment, Painting, Plumbing, Jigs &amp; Fixtures including all finishing items for industrial buildings/ facilities</t>
  </si>
  <si>
    <t>Roof Treatment, Painting, Plumbing, Jigs &amp; Fixtures including all finishing items for ancilliary facilities.</t>
  </si>
  <si>
    <t xml:space="preserve">Substation (D11C-SS#1), </t>
  </si>
  <si>
    <t>Substation (D11C-SS#2)</t>
  </si>
  <si>
    <t>PO</t>
  </si>
  <si>
    <t>Reinforcement steel work - On supply of reinforcement steel -For all industrial building and facilities</t>
  </si>
  <si>
    <t>Reinforcement steel work - On cutting, bending and fixing of reinforcement steel -For all industrial building and facilities</t>
  </si>
  <si>
    <t>Roof Treatment, Painting, Plumbing, Jigs &amp; Fixtures including all finishing items for all industrial buildings / facilities - Substation (D14-SS#2)</t>
  </si>
  <si>
    <t xml:space="preserve">Roof Treatment, Painting, Plumbing, Jigs &amp; Fixtures including all finishing items for all industrial buildings / facilities - Substation (D14-SS#1), </t>
  </si>
  <si>
    <t>Roof Treatment, Painting, Plumbing, Jigs &amp; Fixtures including all finishing items for all industrial buildings / facilities - Substation (D14-SS#3)</t>
  </si>
  <si>
    <t>Roof Treatment, Painting, Plumbing, Jigs &amp; Fixtures including all finishing items for all industrial buildings / facilities - Substation (D14-SS#4)</t>
  </si>
  <si>
    <t>Roof Treatment, Painting, Plumbing, Jigs &amp; Fixtures including all finishing items for all industrial buildings / facilities - Pump House</t>
  </si>
  <si>
    <t>Roof Treatment, Painting, Plumbing, Jigs &amp; Fixtures including all finishing items for all industrial buildings / facilities - Reservoir</t>
  </si>
  <si>
    <t>Reinforcement Steel Works - On supply of Reinforcement Steel - For for ancilliary facilities.</t>
  </si>
  <si>
    <t>Reinforcement Steel Works - On Cutting, Bending &amp; Fixing of Reinforcement Steel - For for ancilliary facilities.</t>
  </si>
  <si>
    <t>Roof Treatment, Painting, Plumbing, Jigs &amp; Fixtures including all finishing items for ancilliary facilities - Rest Shelter and office building</t>
  </si>
  <si>
    <t>Roof Treatment, Painting, Plumbing, Jigs &amp; Fixtures including all finishing items for ancilliary facilities - Plant executive building</t>
  </si>
  <si>
    <t>Roof Treatment, Painting, Plumbing, Jigs &amp; Fixtures including all finishing items for ancilliary facilities - Toilet Block</t>
  </si>
  <si>
    <t>Road &amp; Paved areas - Haul Road -  Earth work in formation and consolidation after testing</t>
  </si>
  <si>
    <t>Road &amp; Paved areas - Haul Road -  Base</t>
  </si>
  <si>
    <t>Road &amp; Paved areas - Haul Road -  Crushed Stone</t>
  </si>
  <si>
    <t xml:space="preserve">Road &amp; Paved areas - Road -  Earth work in formation </t>
  </si>
  <si>
    <t>Road &amp; Paved areas - Road -  Base</t>
  </si>
  <si>
    <t>Road &amp; Paved areas - Road -  Bitumen topping</t>
  </si>
  <si>
    <t>Road &amp; Paved areas - Road -  Toe/ Retaining wall</t>
  </si>
  <si>
    <t>Reinforcement Steel Works - On supply of reinforcement steel -For industrial buildings/ facilities</t>
  </si>
  <si>
    <t>Reinforcement Steel Works - On cutting, bending and fixing of reinforcement steel - For industrial buildings/ facilities</t>
  </si>
  <si>
    <t xml:space="preserve">Roof Treatment, Painting, Plumbing, Jigs &amp; Fixtures including all finishing items for industrial buildings/ facilities - Substation (D11C-SS#1), </t>
  </si>
  <si>
    <t>Roof Treatment, Painting, Plumbing, Jigs &amp; Fixtures including all finishing items for industrial buildings/ facilities - Substation (D11C-SS#2)</t>
  </si>
  <si>
    <t>Roof Treatment, Painting, Plumbing, Jigs &amp; Fixtures including all finishing items for industrial buildings/ facilities - Reservoir</t>
  </si>
  <si>
    <t>Roof Treatment, Painting, Plumbing, Jigs &amp; Fixtures including all finishing items for industrial buildings/ facilities - Pump House</t>
  </si>
  <si>
    <t xml:space="preserve">Road &amp; Paved areas - Road - Earth work in formation </t>
  </si>
  <si>
    <t>Road &amp; Paved areas - Road - Base</t>
  </si>
  <si>
    <t>Road &amp; Paved areas - Road - Bitumen topping</t>
  </si>
  <si>
    <t>Road &amp; Paved areas - Road - Toe/ Retaining wall</t>
  </si>
  <si>
    <t>Road &amp; Paved areas - Drain - Excavation work</t>
  </si>
  <si>
    <t>Road &amp; Paved areas - Drain - PCC work</t>
  </si>
  <si>
    <t>Road &amp; Paved areas - Drain - RCC Work</t>
  </si>
  <si>
    <t xml:space="preserve">Road &amp; Paved areas - Drain - Culvert/Hume Pipe </t>
  </si>
  <si>
    <t>Road and Paved areas - Drain- Excavation work</t>
  </si>
  <si>
    <t>Road and Paved areas - Drain- PCC work</t>
  </si>
  <si>
    <t>Road and Paved areas - Drain- RCC Work</t>
  </si>
  <si>
    <t xml:space="preserve">Road and Paved areas - Drain- Culvert/Hume Pipe </t>
  </si>
  <si>
    <t>Civil Engineering Works 1Dep-14 with ITC</t>
  </si>
  <si>
    <t>Civil Engineering Works 3 Dep 14 without ITC</t>
  </si>
  <si>
    <t>Civil Engineering Works 1 Dep -11C with ITC</t>
  </si>
  <si>
    <t>140/300</t>
  </si>
  <si>
    <t>160/320</t>
  </si>
  <si>
    <t>Civil Engineering Works 3 Dep 11C without ITC</t>
  </si>
  <si>
    <t>150/310</t>
  </si>
  <si>
    <t xml:space="preserve">Total  </t>
  </si>
  <si>
    <t>120/280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</si>
</sst>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 #,##0.00_ ;_ * \-#,##0.00_ ;_ * &quot;-&quot;??_ ;_ @_ "/>
    <numFmt numFmtId="164" formatCode="_(* #,##0.00_);_(* \(#,##0.00\);_(* &quot;-&quot;??_);_(@_)"/>
    <numFmt numFmtId="165" formatCode="_ * #,##0_ ;_ * \-#,##0_ ;_ * &quot;-&quot;??_ ;_ @_ "/>
    <numFmt numFmtId="166" formatCode="_ * #,##0.0_ ;_ * \-#,##0.0_ ;_ * &quot;-&quot;??_ ;_ @_ "/>
  </numFmts>
  <fonts count="10"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8"/>
      <name val="Calibri"/>
      <family val="2"/>
      <scheme val="minor"/>
    </font>
    <font>
      <sz val="12"/>
      <name val="Times New Roman"/>
      <family val="1"/>
    </font>
    <font>
      <b/>
      <sz val="14"/>
      <color theme="1"/>
      <name val="Times New Roman"/>
      <family val="1"/>
    </font>
    <font>
      <sz val="14"/>
      <color theme="1"/>
      <name val="Times New Roman"/>
      <family val="1"/>
    </font>
    <font>
      <b/>
      <sz val="14"/>
      <name val="Times New Roman"/>
      <family val="1"/>
    </font>
    <font>
      <sz val="12"/>
      <color rgb="FF000000"/>
      <name val="Times New Roman"/>
      <family val="1"/>
    </font>
  </fonts>
  <fills count="5">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theme="4" tint="0.79998168889431442"/>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thin">
        <color indexed="64"/>
      </bottom>
      <diagonal/>
    </border>
    <border>
      <left/>
      <right style="medium">
        <color indexed="64"/>
      </right>
      <top/>
      <bottom/>
      <diagonal/>
    </border>
    <border>
      <left/>
      <right/>
      <top style="medium">
        <color indexed="64"/>
      </top>
      <bottom style="medium">
        <color indexed="64"/>
      </bottom>
      <diagonal/>
    </border>
    <border>
      <left/>
      <right/>
      <top style="medium">
        <color indexed="64"/>
      </top>
      <bottom/>
      <diagonal/>
    </border>
    <border>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medium">
        <color indexed="64"/>
      </right>
      <top style="thin">
        <color indexed="64"/>
      </top>
      <bottom style="thin">
        <color indexed="64"/>
      </bottom>
      <diagonal/>
    </border>
    <border>
      <left/>
      <right/>
      <top/>
      <bottom style="thin">
        <color indexed="64"/>
      </bottom>
      <diagonal/>
    </border>
    <border>
      <left/>
      <right style="medium">
        <color indexed="64"/>
      </right>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82">
    <xf numFmtId="0" fontId="0" fillId="0" borderId="0" xfId="0"/>
    <xf numFmtId="165" fontId="6" fillId="0" borderId="1" xfId="1" applyNumberFormat="1" applyFont="1" applyFill="1" applyBorder="1" applyAlignment="1">
      <alignment horizontal="center" vertical="center"/>
    </xf>
    <xf numFmtId="0" fontId="3" fillId="0" borderId="0" xfId="0" applyFont="1" applyAlignment="1">
      <alignment vertical="center"/>
    </xf>
    <xf numFmtId="0" fontId="3" fillId="0" borderId="0" xfId="0" applyFont="1" applyAlignment="1">
      <alignment horizontal="center" vertical="center"/>
    </xf>
    <xf numFmtId="0" fontId="3" fillId="0" borderId="0" xfId="0" applyFont="1"/>
    <xf numFmtId="0" fontId="3" fillId="0" borderId="0" xfId="0" applyFont="1" applyAlignment="1">
      <alignment wrapText="1"/>
    </xf>
    <xf numFmtId="0" fontId="6" fillId="0" borderId="1" xfId="0" applyFont="1" applyBorder="1" applyAlignment="1">
      <alignment horizontal="left" vertical="center"/>
    </xf>
    <xf numFmtId="0" fontId="7" fillId="0" borderId="1" xfId="0" applyFont="1" applyBorder="1"/>
    <xf numFmtId="0" fontId="7" fillId="0" borderId="0" xfId="0" applyFont="1"/>
    <xf numFmtId="0" fontId="2" fillId="0" borderId="1" xfId="0" applyFont="1" applyBorder="1" applyAlignment="1">
      <alignment vertical="center"/>
    </xf>
    <xf numFmtId="165" fontId="2" fillId="0" borderId="1" xfId="1" applyNumberFormat="1" applyFont="1" applyFill="1" applyBorder="1"/>
    <xf numFmtId="9" fontId="3" fillId="0" borderId="1" xfId="2" applyFont="1" applyFill="1" applyBorder="1" applyAlignment="1">
      <alignment vertical="center"/>
    </xf>
    <xf numFmtId="165" fontId="3" fillId="0" borderId="1" xfId="1" applyNumberFormat="1" applyFont="1" applyFill="1" applyBorder="1" applyAlignment="1">
      <alignment vertical="center"/>
    </xf>
    <xf numFmtId="165" fontId="3" fillId="0" borderId="1" xfId="0" applyNumberFormat="1" applyFont="1" applyBorder="1" applyAlignment="1">
      <alignment vertical="center"/>
    </xf>
    <xf numFmtId="165" fontId="3" fillId="0" borderId="0" xfId="0" applyNumberFormat="1" applyFont="1"/>
    <xf numFmtId="0" fontId="2" fillId="0" borderId="1" xfId="0" applyFont="1" applyBorder="1" applyAlignment="1">
      <alignment vertical="center" wrapText="1"/>
    </xf>
    <xf numFmtId="0" fontId="3" fillId="0" borderId="1" xfId="0" applyFont="1" applyBorder="1" applyAlignment="1">
      <alignment horizontal="left" vertical="center" wrapText="1" indent="1"/>
    </xf>
    <xf numFmtId="0" fontId="2" fillId="0" borderId="1" xfId="0" applyFont="1" applyBorder="1" applyAlignment="1">
      <alignment wrapText="1"/>
    </xf>
    <xf numFmtId="0" fontId="2" fillId="0" borderId="1" xfId="0" applyFont="1" applyBorder="1" applyAlignment="1">
      <alignment horizontal="left" vertical="center" wrapText="1" indent="1"/>
    </xf>
    <xf numFmtId="0" fontId="3" fillId="0" borderId="1" xfId="0" applyFont="1" applyBorder="1" applyAlignment="1">
      <alignment vertical="center"/>
    </xf>
    <xf numFmtId="43" fontId="3" fillId="0" borderId="0" xfId="0" applyNumberFormat="1" applyFont="1" applyAlignment="1">
      <alignment vertical="center"/>
    </xf>
    <xf numFmtId="165" fontId="3" fillId="0" borderId="0" xfId="0" applyNumberFormat="1" applyFont="1" applyAlignment="1">
      <alignment vertical="center"/>
    </xf>
    <xf numFmtId="0" fontId="7" fillId="0" borderId="0" xfId="0" applyFont="1" applyAlignment="1">
      <alignment vertical="center"/>
    </xf>
    <xf numFmtId="43" fontId="3" fillId="0" borderId="0" xfId="0" applyNumberFormat="1" applyFont="1"/>
    <xf numFmtId="165" fontId="3" fillId="0" borderId="0" xfId="1" applyNumberFormat="1" applyFont="1" applyFill="1"/>
    <xf numFmtId="165" fontId="7" fillId="0" borderId="0" xfId="0" applyNumberFormat="1" applyFont="1"/>
    <xf numFmtId="0" fontId="3" fillId="0" borderId="1" xfId="0" applyFont="1" applyBorder="1" applyAlignment="1">
      <alignment horizontal="left" vertical="center" indent="2"/>
    </xf>
    <xf numFmtId="0" fontId="3" fillId="0" borderId="0" xfId="0" applyFont="1" applyAlignment="1">
      <alignment horizontal="center"/>
    </xf>
    <xf numFmtId="165" fontId="2" fillId="0" borderId="0" xfId="1" applyNumberFormat="1" applyFont="1" applyFill="1"/>
    <xf numFmtId="165" fontId="3" fillId="0" borderId="1" xfId="1" applyNumberFormat="1" applyFont="1" applyFill="1" applyBorder="1" applyAlignment="1">
      <alignment horizontal="center" vertical="center"/>
    </xf>
    <xf numFmtId="43" fontId="3" fillId="0" borderId="1" xfId="1" applyFont="1" applyFill="1" applyBorder="1" applyAlignment="1">
      <alignment horizontal="center" vertical="center"/>
    </xf>
    <xf numFmtId="43" fontId="2" fillId="0" borderId="0" xfId="1" applyFont="1" applyFill="1"/>
    <xf numFmtId="165" fontId="3" fillId="0" borderId="0" xfId="1" applyNumberFormat="1" applyFont="1"/>
    <xf numFmtId="0" fontId="2" fillId="0" borderId="0" xfId="0" applyFont="1" applyAlignment="1">
      <alignment horizontal="center" vertical="center"/>
    </xf>
    <xf numFmtId="0" fontId="3" fillId="0" borderId="9" xfId="0" applyFont="1" applyBorder="1" applyAlignment="1">
      <alignment horizontal="center" vertical="center"/>
    </xf>
    <xf numFmtId="0" fontId="6" fillId="0" borderId="6" xfId="0" applyFont="1" applyBorder="1" applyAlignment="1">
      <alignment horizontal="center" vertical="center"/>
    </xf>
    <xf numFmtId="0" fontId="6" fillId="0" borderId="7" xfId="0" applyFont="1" applyBorder="1" applyAlignment="1">
      <alignment horizontal="left" vertical="center"/>
    </xf>
    <xf numFmtId="165" fontId="6" fillId="0" borderId="7" xfId="1" applyNumberFormat="1" applyFont="1" applyFill="1" applyBorder="1" applyAlignment="1">
      <alignment horizontal="center" vertical="center"/>
    </xf>
    <xf numFmtId="43" fontId="6" fillId="0" borderId="7" xfId="1" applyFont="1" applyFill="1" applyBorder="1" applyAlignment="1">
      <alignment horizontal="center" vertical="center"/>
    </xf>
    <xf numFmtId="0" fontId="2" fillId="0" borderId="9" xfId="0" applyFont="1" applyBorder="1" applyAlignment="1">
      <alignment horizontal="center"/>
    </xf>
    <xf numFmtId="0" fontId="3" fillId="0" borderId="9" xfId="0" applyFont="1" applyBorder="1" applyAlignment="1">
      <alignment horizontal="center"/>
    </xf>
    <xf numFmtId="0" fontId="6" fillId="0" borderId="9" xfId="0" applyFont="1" applyBorder="1" applyAlignment="1">
      <alignment horizontal="center" vertical="center"/>
    </xf>
    <xf numFmtId="0" fontId="7" fillId="0" borderId="9" xfId="0" applyFont="1" applyBorder="1" applyAlignment="1">
      <alignment horizontal="center" vertical="center"/>
    </xf>
    <xf numFmtId="0" fontId="2" fillId="0" borderId="9" xfId="0" applyFont="1" applyBorder="1" applyAlignment="1">
      <alignment vertical="center"/>
    </xf>
    <xf numFmtId="0" fontId="2" fillId="0" borderId="0" xfId="0" applyFont="1" applyAlignment="1">
      <alignment horizontal="center" vertical="center" wrapText="1"/>
    </xf>
    <xf numFmtId="43" fontId="2" fillId="0" borderId="1" xfId="0" applyNumberFormat="1" applyFont="1" applyBorder="1" applyAlignment="1">
      <alignment vertical="center"/>
    </xf>
    <xf numFmtId="0" fontId="2" fillId="0" borderId="14" xfId="0" applyFont="1" applyBorder="1" applyAlignment="1">
      <alignment horizontal="center" vertical="top" wrapText="1"/>
    </xf>
    <xf numFmtId="0" fontId="2" fillId="0" borderId="15" xfId="0" applyFont="1" applyBorder="1" applyAlignment="1">
      <alignment horizontal="center" vertical="top" wrapText="1"/>
    </xf>
    <xf numFmtId="165" fontId="2" fillId="0" borderId="15" xfId="1" applyNumberFormat="1" applyFont="1" applyFill="1" applyBorder="1" applyAlignment="1">
      <alignment horizontal="center" vertical="top" wrapText="1"/>
    </xf>
    <xf numFmtId="0" fontId="3" fillId="0" borderId="0" xfId="0" applyFont="1" applyAlignment="1">
      <alignment horizontal="center" vertical="top"/>
    </xf>
    <xf numFmtId="0" fontId="6" fillId="0" borderId="9" xfId="0" applyFont="1" applyBorder="1" applyAlignment="1">
      <alignment horizontal="center" vertical="top"/>
    </xf>
    <xf numFmtId="0" fontId="6" fillId="0" borderId="1" xfId="0" applyFont="1" applyBorder="1" applyAlignment="1">
      <alignment horizontal="left" vertical="top"/>
    </xf>
    <xf numFmtId="165" fontId="6" fillId="0" borderId="1" xfId="1" applyNumberFormat="1" applyFont="1" applyFill="1" applyBorder="1" applyAlignment="1">
      <alignment horizontal="center" vertical="top"/>
    </xf>
    <xf numFmtId="43" fontId="6" fillId="0" borderId="1" xfId="1" applyFont="1" applyFill="1" applyBorder="1" applyAlignment="1">
      <alignment horizontal="center" vertical="top"/>
    </xf>
    <xf numFmtId="0" fontId="3" fillId="0" borderId="9" xfId="0" applyFont="1" applyBorder="1" applyAlignment="1">
      <alignment horizontal="center" vertical="top"/>
    </xf>
    <xf numFmtId="0" fontId="2" fillId="0" borderId="1" xfId="0" applyFont="1" applyBorder="1" applyAlignment="1">
      <alignment vertical="top"/>
    </xf>
    <xf numFmtId="165" fontId="3" fillId="0" borderId="1" xfId="1" applyNumberFormat="1" applyFont="1" applyFill="1" applyBorder="1" applyAlignment="1">
      <alignment horizontal="center" vertical="top"/>
    </xf>
    <xf numFmtId="43" fontId="3" fillId="0" borderId="1" xfId="1" applyFont="1" applyFill="1" applyBorder="1" applyAlignment="1">
      <alignment horizontal="center" vertical="top"/>
    </xf>
    <xf numFmtId="9" fontId="3" fillId="0" borderId="1" xfId="2" applyFont="1" applyFill="1" applyBorder="1" applyAlignment="1">
      <alignment vertical="top"/>
    </xf>
    <xf numFmtId="165" fontId="3" fillId="0" borderId="1" xfId="0" applyNumberFormat="1" applyFont="1" applyBorder="1" applyAlignment="1">
      <alignment vertical="top"/>
    </xf>
    <xf numFmtId="0" fontId="3" fillId="0" borderId="1" xfId="0" applyFont="1" applyBorder="1" applyAlignment="1">
      <alignment horizontal="left" vertical="top"/>
    </xf>
    <xf numFmtId="0" fontId="2" fillId="0" borderId="1" xfId="0" applyFont="1" applyBorder="1" applyAlignment="1">
      <alignment vertical="top" wrapText="1"/>
    </xf>
    <xf numFmtId="0" fontId="3" fillId="0" borderId="1" xfId="0" applyFont="1" applyBorder="1" applyAlignment="1">
      <alignment horizontal="left" vertical="top" wrapText="1"/>
    </xf>
    <xf numFmtId="0" fontId="2" fillId="0" borderId="9" xfId="0" applyFont="1" applyBorder="1" applyAlignment="1">
      <alignment vertical="top"/>
    </xf>
    <xf numFmtId="43" fontId="2" fillId="0" borderId="1" xfId="0" applyNumberFormat="1" applyFont="1" applyBorder="1" applyAlignment="1">
      <alignment vertical="top"/>
    </xf>
    <xf numFmtId="0" fontId="2" fillId="0" borderId="1" xfId="0" applyFont="1" applyBorder="1" applyAlignment="1">
      <alignment horizontal="left" vertical="top" wrapText="1"/>
    </xf>
    <xf numFmtId="0" fontId="2" fillId="0" borderId="9" xfId="0" applyFont="1" applyBorder="1" applyAlignment="1">
      <alignment horizontal="center" vertical="top"/>
    </xf>
    <xf numFmtId="0" fontId="2" fillId="0" borderId="1" xfId="0" applyFont="1" applyBorder="1" applyAlignment="1">
      <alignment horizontal="center" vertical="top"/>
    </xf>
    <xf numFmtId="0" fontId="5" fillId="0" borderId="1" xfId="0" applyFont="1" applyBorder="1" applyAlignment="1">
      <alignment horizontal="left" vertical="top"/>
    </xf>
    <xf numFmtId="165" fontId="3" fillId="2" borderId="1" xfId="1" applyNumberFormat="1" applyFont="1" applyFill="1" applyBorder="1" applyAlignment="1">
      <alignment horizontal="center" vertical="top"/>
    </xf>
    <xf numFmtId="0" fontId="5" fillId="0" borderId="9" xfId="0" applyFont="1" applyBorder="1" applyAlignment="1">
      <alignment horizontal="center" vertical="top" wrapText="1"/>
    </xf>
    <xf numFmtId="0" fontId="3" fillId="0" borderId="0" xfId="0" applyFont="1" applyAlignment="1">
      <alignment vertical="top"/>
    </xf>
    <xf numFmtId="165" fontId="2" fillId="0" borderId="0" xfId="1" applyNumberFormat="1" applyFont="1" applyFill="1" applyAlignment="1">
      <alignment vertical="top"/>
    </xf>
    <xf numFmtId="43" fontId="2" fillId="0" borderId="0" xfId="1" applyFont="1" applyFill="1" applyAlignment="1">
      <alignment vertical="top"/>
    </xf>
    <xf numFmtId="0" fontId="6" fillId="0" borderId="3" xfId="0" applyFont="1" applyBorder="1" applyAlignment="1">
      <alignment horizontal="left" vertical="center"/>
    </xf>
    <xf numFmtId="0" fontId="2" fillId="0" borderId="18"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9" fontId="3" fillId="0" borderId="1" xfId="2" applyFont="1" applyBorder="1" applyAlignment="1">
      <alignment vertical="top"/>
    </xf>
    <xf numFmtId="165" fontId="2" fillId="0" borderId="1" xfId="1" applyNumberFormat="1" applyFont="1" applyFill="1" applyBorder="1" applyAlignment="1">
      <alignment horizontal="center" vertical="center"/>
    </xf>
    <xf numFmtId="165" fontId="2" fillId="0" borderId="1" xfId="1" applyNumberFormat="1" applyFont="1" applyFill="1" applyBorder="1" applyAlignment="1">
      <alignment horizontal="center" vertical="top"/>
    </xf>
    <xf numFmtId="0" fontId="6" fillId="2" borderId="1" xfId="0" applyFont="1" applyFill="1" applyBorder="1" applyAlignment="1">
      <alignment horizontal="justify" vertical="top" wrapText="1"/>
    </xf>
    <xf numFmtId="165" fontId="2" fillId="0" borderId="15" xfId="1" quotePrefix="1" applyNumberFormat="1" applyFont="1" applyFill="1" applyBorder="1" applyAlignment="1">
      <alignment horizontal="center" vertical="top" wrapText="1"/>
    </xf>
    <xf numFmtId="43" fontId="2" fillId="0" borderId="1" xfId="1" applyFont="1" applyFill="1" applyBorder="1" applyAlignment="1">
      <alignment horizontal="center" vertical="top"/>
    </xf>
    <xf numFmtId="0" fontId="3" fillId="0" borderId="1" xfId="0" applyFont="1" applyBorder="1" applyAlignment="1">
      <alignment vertical="top"/>
    </xf>
    <xf numFmtId="0" fontId="2" fillId="0" borderId="18" xfId="0" applyFont="1" applyBorder="1" applyAlignment="1">
      <alignment vertical="top"/>
    </xf>
    <xf numFmtId="0" fontId="3" fillId="0" borderId="3" xfId="0" applyFont="1" applyBorder="1" applyAlignment="1">
      <alignment horizontal="left" vertical="top" wrapText="1"/>
    </xf>
    <xf numFmtId="165" fontId="3" fillId="0" borderId="3" xfId="1" applyNumberFormat="1" applyFont="1" applyFill="1" applyBorder="1" applyAlignment="1">
      <alignment horizontal="center" vertical="top"/>
    </xf>
    <xf numFmtId="0" fontId="2" fillId="0" borderId="23" xfId="0" applyFont="1" applyBorder="1" applyAlignment="1">
      <alignment vertical="top"/>
    </xf>
    <xf numFmtId="0" fontId="2" fillId="0" borderId="24" xfId="0" applyFont="1" applyBorder="1" applyAlignment="1">
      <alignment vertical="top"/>
    </xf>
    <xf numFmtId="43" fontId="2" fillId="0" borderId="1" xfId="1" applyFont="1" applyFill="1" applyBorder="1" applyAlignment="1">
      <alignment vertical="center"/>
    </xf>
    <xf numFmtId="0" fontId="2" fillId="0" borderId="26" xfId="0" applyFont="1" applyBorder="1" applyAlignment="1">
      <alignment horizontal="center" vertical="top" wrapText="1"/>
    </xf>
    <xf numFmtId="0" fontId="2" fillId="0" borderId="27" xfId="0" applyFont="1" applyBorder="1" applyAlignment="1">
      <alignment horizontal="center" vertical="top" wrapText="1"/>
    </xf>
    <xf numFmtId="165" fontId="2" fillId="0" borderId="27" xfId="1" applyNumberFormat="1" applyFont="1" applyFill="1" applyBorder="1" applyAlignment="1">
      <alignment horizontal="center" vertical="top" wrapText="1"/>
    </xf>
    <xf numFmtId="165" fontId="2" fillId="0" borderId="27" xfId="1" quotePrefix="1" applyNumberFormat="1" applyFont="1" applyFill="1" applyBorder="1" applyAlignment="1">
      <alignment horizontal="center" vertical="top" wrapText="1"/>
    </xf>
    <xf numFmtId="0" fontId="3" fillId="0" borderId="1" xfId="0" applyFont="1" applyBorder="1" applyAlignment="1">
      <alignment horizontal="center" vertical="center"/>
    </xf>
    <xf numFmtId="0" fontId="3" fillId="0" borderId="1" xfId="0" applyFont="1" applyBorder="1"/>
    <xf numFmtId="43" fontId="3" fillId="0" borderId="1" xfId="0" applyNumberFormat="1" applyFont="1" applyBorder="1"/>
    <xf numFmtId="0" fontId="2" fillId="0" borderId="0" xfId="0" applyFont="1" applyAlignment="1">
      <alignment vertical="center"/>
    </xf>
    <xf numFmtId="43" fontId="2" fillId="2" borderId="1" xfId="0" applyNumberFormat="1" applyFont="1" applyFill="1" applyBorder="1" applyAlignment="1">
      <alignment vertical="center"/>
    </xf>
    <xf numFmtId="43" fontId="2" fillId="0" borderId="1" xfId="0" applyNumberFormat="1" applyFont="1" applyBorder="1"/>
    <xf numFmtId="0" fontId="3" fillId="0" borderId="10" xfId="0" applyFont="1" applyBorder="1" applyAlignment="1">
      <alignment horizontal="center" vertical="center"/>
    </xf>
    <xf numFmtId="43" fontId="3" fillId="0" borderId="10" xfId="0" applyNumberFormat="1" applyFont="1" applyBorder="1"/>
    <xf numFmtId="43" fontId="2" fillId="0" borderId="10" xfId="0" applyNumberFormat="1" applyFont="1" applyBorder="1" applyAlignment="1">
      <alignment vertical="center"/>
    </xf>
    <xf numFmtId="43" fontId="2" fillId="0" borderId="10" xfId="0" applyNumberFormat="1" applyFont="1" applyBorder="1"/>
    <xf numFmtId="0" fontId="3" fillId="0" borderId="28" xfId="0" applyFont="1" applyBorder="1"/>
    <xf numFmtId="0" fontId="3" fillId="0" borderId="19" xfId="0" applyFont="1" applyBorder="1"/>
    <xf numFmtId="0" fontId="3" fillId="0" borderId="9" xfId="0" applyFont="1" applyBorder="1"/>
    <xf numFmtId="0" fontId="2" fillId="0" borderId="28" xfId="0" applyFont="1" applyBorder="1" applyAlignment="1">
      <alignment horizontal="center" vertical="center"/>
    </xf>
    <xf numFmtId="43" fontId="2" fillId="0" borderId="10" xfId="0" applyNumberFormat="1" applyFont="1" applyBorder="1" applyAlignment="1">
      <alignment vertical="top"/>
    </xf>
    <xf numFmtId="0" fontId="5" fillId="0" borderId="6" xfId="0" applyFont="1" applyBorder="1" applyAlignment="1">
      <alignment horizontal="center" vertical="top" wrapText="1"/>
    </xf>
    <xf numFmtId="0" fontId="3" fillId="0" borderId="11" xfId="0" applyFont="1" applyBorder="1" applyAlignment="1">
      <alignment horizontal="center" vertical="top"/>
    </xf>
    <xf numFmtId="0" fontId="2" fillId="0" borderId="1" xfId="0" applyFont="1" applyBorder="1" applyAlignment="1">
      <alignment horizontal="center" vertical="center"/>
    </xf>
    <xf numFmtId="43" fontId="2" fillId="0" borderId="1" xfId="1" applyFont="1" applyFill="1" applyBorder="1" applyAlignment="1">
      <alignment vertical="top"/>
    </xf>
    <xf numFmtId="43" fontId="3" fillId="0" borderId="1" xfId="0" applyNumberFormat="1" applyFont="1" applyBorder="1" applyAlignment="1">
      <alignment vertical="top"/>
    </xf>
    <xf numFmtId="165" fontId="2" fillId="0" borderId="2" xfId="1" applyNumberFormat="1" applyFont="1" applyFill="1" applyBorder="1" applyAlignment="1">
      <alignment vertical="top"/>
    </xf>
    <xf numFmtId="43" fontId="2" fillId="0" borderId="10" xfId="1" applyFont="1" applyFill="1" applyBorder="1" applyAlignment="1">
      <alignment vertical="top"/>
    </xf>
    <xf numFmtId="0" fontId="2" fillId="0" borderId="25" xfId="0" applyFont="1" applyBorder="1" applyAlignment="1">
      <alignment vertical="top"/>
    </xf>
    <xf numFmtId="0" fontId="2" fillId="0" borderId="20" xfId="0" applyFont="1" applyBorder="1" applyAlignment="1">
      <alignment vertical="top"/>
    </xf>
    <xf numFmtId="43" fontId="2" fillId="0" borderId="5" xfId="0" applyNumberFormat="1" applyFont="1" applyBorder="1" applyAlignment="1">
      <alignment vertical="top"/>
    </xf>
    <xf numFmtId="43" fontId="2" fillId="0" borderId="31" xfId="1" applyFont="1" applyFill="1" applyBorder="1" applyAlignment="1">
      <alignment vertical="top"/>
    </xf>
    <xf numFmtId="43" fontId="2" fillId="0" borderId="16" xfId="1" applyFont="1" applyFill="1" applyBorder="1" applyAlignment="1">
      <alignment vertical="top"/>
    </xf>
    <xf numFmtId="0" fontId="2" fillId="0" borderId="1" xfId="0" applyFont="1" applyBorder="1" applyAlignment="1">
      <alignment horizontal="center"/>
    </xf>
    <xf numFmtId="0" fontId="3" fillId="0" borderId="1" xfId="0" applyFont="1" applyBorder="1" applyAlignment="1">
      <alignment horizontal="center"/>
    </xf>
    <xf numFmtId="0" fontId="2" fillId="0" borderId="29" xfId="0" applyFont="1" applyBorder="1" applyAlignment="1">
      <alignment vertical="center"/>
    </xf>
    <xf numFmtId="0" fontId="2" fillId="0" borderId="22" xfId="0" applyFont="1" applyBorder="1" applyAlignment="1">
      <alignment vertical="center"/>
    </xf>
    <xf numFmtId="43" fontId="6" fillId="0" borderId="17" xfId="1" applyFont="1" applyFill="1" applyBorder="1" applyAlignment="1">
      <alignment vertical="center"/>
    </xf>
    <xf numFmtId="0" fontId="6" fillId="0" borderId="1" xfId="0" applyFont="1" applyBorder="1" applyAlignment="1">
      <alignment horizontal="left" vertical="top" wrapText="1"/>
    </xf>
    <xf numFmtId="0" fontId="3" fillId="0" borderId="1" xfId="0" applyFont="1" applyBorder="1" applyAlignment="1">
      <alignment vertical="center" wrapText="1"/>
    </xf>
    <xf numFmtId="0" fontId="8" fillId="0" borderId="1" xfId="0" applyFont="1" applyBorder="1" applyAlignment="1">
      <alignment horizontal="left" vertical="center" wrapText="1"/>
    </xf>
    <xf numFmtId="0" fontId="2" fillId="0" borderId="34" xfId="0" applyFont="1" applyBorder="1" applyAlignment="1">
      <alignment horizontal="center" vertical="center"/>
    </xf>
    <xf numFmtId="0" fontId="3" fillId="2" borderId="1" xfId="0" applyFont="1" applyFill="1" applyBorder="1" applyAlignment="1">
      <alignment vertical="center"/>
    </xf>
    <xf numFmtId="0" fontId="3" fillId="0" borderId="0" xfId="0" applyFont="1" applyAlignment="1">
      <alignment vertical="center" wrapText="1"/>
    </xf>
    <xf numFmtId="165" fontId="2" fillId="0" borderId="16" xfId="1" applyNumberFormat="1" applyFont="1" applyFill="1" applyBorder="1" applyAlignment="1">
      <alignment horizontal="center" vertical="top" wrapText="1"/>
    </xf>
    <xf numFmtId="165" fontId="6" fillId="0" borderId="8" xfId="1" applyNumberFormat="1" applyFont="1" applyFill="1" applyBorder="1" applyAlignment="1">
      <alignment horizontal="center" vertical="center"/>
    </xf>
    <xf numFmtId="165" fontId="3" fillId="0" borderId="10" xfId="1" applyNumberFormat="1" applyFont="1" applyFill="1" applyBorder="1" applyAlignment="1">
      <alignment horizontal="center" vertical="center"/>
    </xf>
    <xf numFmtId="165" fontId="6" fillId="0" borderId="10" xfId="1" applyNumberFormat="1" applyFont="1" applyFill="1" applyBorder="1" applyAlignment="1">
      <alignment horizontal="center" vertical="top"/>
    </xf>
    <xf numFmtId="165" fontId="3" fillId="0" borderId="10" xfId="1" applyNumberFormat="1" applyFont="1" applyFill="1" applyBorder="1" applyAlignment="1">
      <alignment horizontal="center" vertical="top"/>
    </xf>
    <xf numFmtId="43" fontId="2" fillId="0" borderId="10" xfId="1" applyFont="1" applyFill="1" applyBorder="1" applyAlignment="1">
      <alignment horizontal="center" vertical="top"/>
    </xf>
    <xf numFmtId="165" fontId="3" fillId="0" borderId="10" xfId="0" applyNumberFormat="1" applyFont="1" applyBorder="1" applyAlignment="1">
      <alignment vertical="top"/>
    </xf>
    <xf numFmtId="166" fontId="3" fillId="0" borderId="0" xfId="0" applyNumberFormat="1" applyFont="1" applyAlignment="1">
      <alignment vertical="center"/>
    </xf>
    <xf numFmtId="1" fontId="3" fillId="0" borderId="0" xfId="0" applyNumberFormat="1" applyFont="1"/>
    <xf numFmtId="165" fontId="2" fillId="2" borderId="1" xfId="1" applyNumberFormat="1" applyFont="1" applyFill="1" applyBorder="1" applyAlignment="1">
      <alignment horizontal="center" vertical="top"/>
    </xf>
    <xf numFmtId="2" fontId="3" fillId="0" borderId="0" xfId="0" applyNumberFormat="1" applyFont="1"/>
    <xf numFmtId="43" fontId="3" fillId="0" borderId="0" xfId="1" applyFont="1"/>
    <xf numFmtId="0" fontId="2" fillId="0" borderId="3" xfId="0" applyFont="1" applyBorder="1" applyAlignment="1">
      <alignment vertical="top"/>
    </xf>
    <xf numFmtId="165" fontId="3" fillId="0" borderId="0" xfId="0" applyNumberFormat="1" applyFont="1" applyAlignment="1">
      <alignment wrapText="1"/>
    </xf>
    <xf numFmtId="164" fontId="3" fillId="0" borderId="0" xfId="0" applyNumberFormat="1" applyFont="1" applyAlignment="1">
      <alignment wrapText="1"/>
    </xf>
    <xf numFmtId="164" fontId="3" fillId="0" borderId="0" xfId="0" applyNumberFormat="1" applyFont="1"/>
    <xf numFmtId="164" fontId="3" fillId="0" borderId="0" xfId="0" applyNumberFormat="1" applyFont="1" applyAlignment="1">
      <alignment vertical="center"/>
    </xf>
    <xf numFmtId="43" fontId="3" fillId="0" borderId="10" xfId="1" applyFont="1" applyFill="1" applyBorder="1" applyAlignment="1">
      <alignment horizontal="center" vertical="center"/>
    </xf>
    <xf numFmtId="164" fontId="7" fillId="0" borderId="0" xfId="0" applyNumberFormat="1" applyFont="1"/>
    <xf numFmtId="43" fontId="3" fillId="0" borderId="1" xfId="1" applyFont="1" applyFill="1" applyBorder="1" applyAlignment="1">
      <alignment vertical="center"/>
    </xf>
    <xf numFmtId="43" fontId="3" fillId="0" borderId="1" xfId="1" applyFont="1" applyBorder="1"/>
    <xf numFmtId="43" fontId="3" fillId="0" borderId="1" xfId="2" applyNumberFormat="1" applyFont="1" applyFill="1" applyBorder="1" applyAlignment="1">
      <alignment vertical="center"/>
    </xf>
    <xf numFmtId="43" fontId="6" fillId="0" borderId="1" xfId="1" applyFont="1" applyFill="1" applyBorder="1" applyAlignment="1">
      <alignment vertical="center"/>
    </xf>
    <xf numFmtId="43" fontId="6" fillId="0" borderId="1" xfId="1" applyFont="1" applyFill="1" applyBorder="1" applyAlignment="1">
      <alignment horizontal="center" vertical="center"/>
    </xf>
    <xf numFmtId="43" fontId="3" fillId="0" borderId="1" xfId="0" applyNumberFormat="1" applyFont="1" applyBorder="1" applyAlignment="1">
      <alignment horizontal="center" vertical="center"/>
    </xf>
    <xf numFmtId="43" fontId="3" fillId="0" borderId="1" xfId="1" applyFont="1" applyBorder="1" applyAlignment="1">
      <alignment horizontal="center" vertical="center"/>
    </xf>
    <xf numFmtId="43" fontId="7" fillId="0" borderId="1" xfId="0" applyNumberFormat="1" applyFont="1" applyBorder="1" applyAlignment="1">
      <alignment vertical="center"/>
    </xf>
    <xf numFmtId="43" fontId="3" fillId="0" borderId="10" xfId="0" applyNumberFormat="1" applyFont="1" applyBorder="1" applyAlignment="1">
      <alignment horizontal="center" vertical="center"/>
    </xf>
    <xf numFmtId="43" fontId="3" fillId="0" borderId="1" xfId="0" applyNumberFormat="1" applyFont="1" applyBorder="1" applyAlignment="1">
      <alignment vertical="center"/>
    </xf>
    <xf numFmtId="43" fontId="2" fillId="0" borderId="1" xfId="2" applyNumberFormat="1" applyFont="1" applyFill="1" applyBorder="1" applyAlignment="1">
      <alignment vertical="center"/>
    </xf>
    <xf numFmtId="43" fontId="3" fillId="0" borderId="1" xfId="0" applyNumberFormat="1" applyFont="1" applyBorder="1" applyAlignment="1">
      <alignment horizontal="left" indent="2"/>
    </xf>
    <xf numFmtId="43" fontId="2" fillId="0" borderId="1" xfId="1" applyFont="1" applyFill="1" applyBorder="1" applyAlignment="1"/>
    <xf numFmtId="43" fontId="2" fillId="0" borderId="1" xfId="1" applyFont="1" applyFill="1" applyBorder="1"/>
    <xf numFmtId="43" fontId="3" fillId="2" borderId="1" xfId="1" applyFont="1" applyFill="1" applyBorder="1" applyAlignment="1">
      <alignment vertical="center"/>
    </xf>
    <xf numFmtId="43" fontId="7" fillId="0" borderId="1" xfId="0" applyNumberFormat="1" applyFont="1" applyBorder="1"/>
    <xf numFmtId="43" fontId="2" fillId="0" borderId="3" xfId="0" applyNumberFormat="1" applyFont="1" applyBorder="1" applyAlignment="1">
      <alignment vertical="top"/>
    </xf>
    <xf numFmtId="43" fontId="3" fillId="0" borderId="19" xfId="0" applyNumberFormat="1" applyFont="1" applyBorder="1"/>
    <xf numFmtId="43" fontId="2" fillId="0" borderId="0" xfId="0" applyNumberFormat="1" applyFont="1" applyAlignment="1">
      <alignment vertical="center"/>
    </xf>
    <xf numFmtId="43" fontId="3" fillId="0" borderId="0" xfId="1" applyFont="1" applyBorder="1"/>
    <xf numFmtId="43" fontId="6" fillId="0" borderId="1" xfId="0" applyNumberFormat="1" applyFont="1" applyBorder="1" applyAlignment="1">
      <alignment horizontal="left" vertical="center"/>
    </xf>
    <xf numFmtId="43" fontId="6" fillId="0" borderId="1" xfId="1" applyFont="1" applyBorder="1" applyAlignment="1">
      <alignment horizontal="left" vertical="center"/>
    </xf>
    <xf numFmtId="43" fontId="3" fillId="0" borderId="1" xfId="2" applyNumberFormat="1" applyFont="1" applyFill="1" applyBorder="1" applyAlignment="1">
      <alignment horizontal="center" vertical="top"/>
    </xf>
    <xf numFmtId="43" fontId="3" fillId="0" borderId="1" xfId="2" applyNumberFormat="1" applyFont="1" applyFill="1" applyBorder="1" applyAlignment="1">
      <alignment horizontal="right" vertical="top"/>
    </xf>
    <xf numFmtId="43" fontId="3" fillId="0" borderId="1" xfId="2" applyNumberFormat="1" applyFont="1" applyFill="1" applyBorder="1" applyAlignment="1">
      <alignment vertical="top"/>
    </xf>
    <xf numFmtId="43" fontId="3" fillId="0" borderId="10" xfId="1" applyFont="1" applyFill="1" applyBorder="1" applyAlignment="1">
      <alignment horizontal="center" vertical="top"/>
    </xf>
    <xf numFmtId="43" fontId="2" fillId="0" borderId="10" xfId="1" applyFont="1" applyFill="1" applyBorder="1" applyAlignment="1">
      <alignment horizontal="center" vertical="center"/>
    </xf>
    <xf numFmtId="43" fontId="6" fillId="0" borderId="10" xfId="1" applyFont="1" applyFill="1" applyBorder="1" applyAlignment="1">
      <alignment horizontal="center" vertical="top"/>
    </xf>
    <xf numFmtId="43" fontId="2" fillId="0" borderId="1" xfId="2" applyNumberFormat="1" applyFont="1" applyFill="1" applyBorder="1" applyAlignment="1">
      <alignment vertical="top"/>
    </xf>
    <xf numFmtId="43" fontId="3" fillId="0" borderId="1" xfId="2" applyNumberFormat="1" applyFont="1" applyBorder="1" applyAlignment="1">
      <alignment vertical="top"/>
    </xf>
    <xf numFmtId="43" fontId="3" fillId="0" borderId="3" xfId="1" applyFont="1" applyFill="1" applyBorder="1" applyAlignment="1">
      <alignment horizontal="center" vertical="top"/>
    </xf>
    <xf numFmtId="43" fontId="2" fillId="0" borderId="3" xfId="1" applyFont="1" applyFill="1" applyBorder="1" applyAlignment="1">
      <alignment horizontal="center" vertical="top"/>
    </xf>
    <xf numFmtId="43" fontId="3" fillId="0" borderId="3" xfId="2" applyNumberFormat="1" applyFont="1" applyFill="1" applyBorder="1" applyAlignment="1">
      <alignment vertical="top"/>
    </xf>
    <xf numFmtId="43" fontId="2" fillId="0" borderId="35" xfId="1" applyFont="1" applyFill="1" applyBorder="1" applyAlignment="1">
      <alignment horizontal="center" vertical="top"/>
    </xf>
    <xf numFmtId="165" fontId="7" fillId="0" borderId="0" xfId="0" applyNumberFormat="1" applyFont="1" applyAlignment="1">
      <alignment vertical="center"/>
    </xf>
    <xf numFmtId="0" fontId="9" fillId="0" borderId="1" xfId="0" applyFont="1" applyBorder="1" applyAlignment="1">
      <alignment vertical="center"/>
    </xf>
    <xf numFmtId="0" fontId="6" fillId="0" borderId="0" xfId="0" applyFont="1" applyAlignment="1">
      <alignment horizontal="left" vertical="center"/>
    </xf>
    <xf numFmtId="0" fontId="5" fillId="0" borderId="1" xfId="0" applyFont="1" applyBorder="1" applyAlignment="1">
      <alignment horizontal="left" vertical="top" wrapText="1"/>
    </xf>
    <xf numFmtId="43" fontId="3" fillId="0" borderId="1" xfId="1" applyFont="1" applyFill="1" applyBorder="1" applyAlignment="1">
      <alignment horizontal="right" vertical="top"/>
    </xf>
    <xf numFmtId="9" fontId="3" fillId="0" borderId="1" xfId="2" applyFont="1" applyFill="1" applyBorder="1" applyAlignment="1">
      <alignment horizontal="right" vertical="top"/>
    </xf>
    <xf numFmtId="165" fontId="3" fillId="0" borderId="1" xfId="1" applyNumberFormat="1" applyFont="1" applyFill="1" applyBorder="1" applyAlignment="1">
      <alignment horizontal="right" vertical="top"/>
    </xf>
    <xf numFmtId="43" fontId="3" fillId="0" borderId="1" xfId="0" applyNumberFormat="1" applyFont="1" applyBorder="1" applyAlignment="1">
      <alignment horizontal="right" vertical="top"/>
    </xf>
    <xf numFmtId="43" fontId="3" fillId="0" borderId="1" xfId="2" applyNumberFormat="1" applyFont="1" applyBorder="1" applyAlignment="1">
      <alignment horizontal="right" vertical="top"/>
    </xf>
    <xf numFmtId="43" fontId="2" fillId="0" borderId="1" xfId="1" applyFont="1" applyFill="1" applyBorder="1" applyAlignment="1">
      <alignment horizontal="right" vertical="top"/>
    </xf>
    <xf numFmtId="0" fontId="3" fillId="0" borderId="1" xfId="0" applyFont="1" applyBorder="1" applyAlignment="1">
      <alignment horizontal="center" vertical="top"/>
    </xf>
    <xf numFmtId="0" fontId="9" fillId="0" borderId="1" xfId="0" applyFont="1" applyBorder="1" applyAlignment="1">
      <alignment horizontal="left" vertical="top"/>
    </xf>
    <xf numFmtId="165" fontId="7" fillId="0" borderId="1" xfId="1" applyNumberFormat="1" applyFont="1" applyFill="1" applyBorder="1" applyAlignment="1">
      <alignment horizontal="center" vertical="center"/>
    </xf>
    <xf numFmtId="43" fontId="7" fillId="0" borderId="1" xfId="1" applyFont="1" applyFill="1" applyBorder="1" applyAlignment="1">
      <alignment horizontal="center" vertical="center"/>
    </xf>
    <xf numFmtId="43" fontId="3" fillId="0" borderId="1" xfId="1" applyFont="1" applyBorder="1" applyAlignment="1">
      <alignment horizontal="right" vertical="top"/>
    </xf>
    <xf numFmtId="43" fontId="3" fillId="2" borderId="1" xfId="1" applyFont="1" applyFill="1" applyBorder="1" applyAlignment="1">
      <alignment horizontal="right" vertical="top"/>
    </xf>
    <xf numFmtId="0" fontId="3" fillId="0" borderId="1" xfId="0" applyFont="1" applyBorder="1" applyAlignment="1">
      <alignment horizontal="left" vertical="top" indent="2"/>
    </xf>
    <xf numFmtId="43" fontId="3" fillId="0" borderId="4" xfId="0" applyNumberFormat="1" applyFont="1" applyBorder="1"/>
    <xf numFmtId="165" fontId="3" fillId="0" borderId="1" xfId="0" applyNumberFormat="1" applyFont="1" applyBorder="1"/>
    <xf numFmtId="0" fontId="3" fillId="0" borderId="1" xfId="0" applyFont="1" applyBorder="1" applyAlignment="1">
      <alignment vertical="top" wrapText="1"/>
    </xf>
    <xf numFmtId="43" fontId="2" fillId="0" borderId="1" xfId="1" applyFont="1" applyFill="1" applyBorder="1" applyAlignment="1">
      <alignment horizontal="center" vertical="center"/>
    </xf>
    <xf numFmtId="43" fontId="2" fillId="0" borderId="1" xfId="0" applyNumberFormat="1" applyFont="1" applyBorder="1" applyAlignment="1">
      <alignment horizontal="left" indent="2"/>
    </xf>
    <xf numFmtId="43" fontId="2" fillId="0" borderId="1" xfId="1" applyFont="1" applyBorder="1"/>
    <xf numFmtId="0" fontId="2" fillId="0" borderId="1" xfId="0" applyFont="1" applyBorder="1" applyAlignment="1">
      <alignment horizontal="left" vertical="top"/>
    </xf>
    <xf numFmtId="165" fontId="2" fillId="0" borderId="1" xfId="1" applyNumberFormat="1" applyFont="1" applyFill="1" applyBorder="1" applyAlignment="1">
      <alignment horizontal="right" vertical="top"/>
    </xf>
    <xf numFmtId="43" fontId="2" fillId="0" borderId="1" xfId="2" applyNumberFormat="1" applyFont="1" applyFill="1" applyBorder="1" applyAlignment="1">
      <alignment horizontal="right" vertical="top"/>
    </xf>
    <xf numFmtId="0" fontId="3" fillId="0" borderId="1" xfId="0" applyFont="1" applyBorder="1" applyAlignment="1">
      <alignment horizontal="left" vertical="top" wrapText="1"/>
    </xf>
    <xf numFmtId="0" fontId="3" fillId="0" borderId="10" xfId="0" applyFont="1" applyBorder="1" applyAlignment="1">
      <alignment horizontal="left" vertical="top" wrapText="1"/>
    </xf>
    <xf numFmtId="0" fontId="3" fillId="0" borderId="12" xfId="0" applyFont="1" applyBorder="1" applyAlignment="1">
      <alignment vertical="top"/>
    </xf>
    <xf numFmtId="0" fontId="3" fillId="0" borderId="13" xfId="0" applyFont="1" applyBorder="1" applyAlignment="1">
      <alignment vertical="top"/>
    </xf>
    <xf numFmtId="0" fontId="2" fillId="0" borderId="21" xfId="0" applyFont="1" applyBorder="1" applyAlignment="1">
      <alignment horizontal="center" vertical="top" wrapText="1"/>
    </xf>
    <xf numFmtId="0" fontId="2" fillId="0" borderId="33" xfId="0" applyFont="1" applyBorder="1" applyAlignment="1">
      <alignment horizontal="center" vertical="top" wrapText="1"/>
    </xf>
    <xf numFmtId="0" fontId="2" fillId="4" borderId="0" xfId="0" applyFont="1" applyFill="1" applyAlignment="1">
      <alignment horizontal="left" vertical="top" wrapText="1"/>
    </xf>
    <xf numFmtId="0" fontId="2" fillId="4" borderId="19" xfId="0" applyFont="1" applyFill="1" applyBorder="1" applyAlignment="1">
      <alignment horizontal="left" vertical="top" wrapText="1"/>
    </xf>
    <xf numFmtId="0" fontId="2" fillId="3" borderId="36" xfId="0" applyFont="1" applyFill="1" applyBorder="1" applyAlignment="1">
      <alignment horizontal="left" vertical="top"/>
    </xf>
    <xf numFmtId="0" fontId="2" fillId="3" borderId="37" xfId="0" applyFont="1" applyFill="1" applyBorder="1" applyAlignment="1">
      <alignment horizontal="left" vertical="top"/>
    </xf>
    <xf numFmtId="0" fontId="6" fillId="0" borderId="28" xfId="0" applyFont="1" applyBorder="1" applyAlignment="1">
      <alignment horizontal="left" vertical="top"/>
    </xf>
    <xf numFmtId="0" fontId="6" fillId="0" borderId="0" xfId="0" applyFont="1" applyAlignment="1">
      <alignment horizontal="left" vertical="top"/>
    </xf>
    <xf numFmtId="0" fontId="6" fillId="0" borderId="19" xfId="0" applyFont="1" applyBorder="1" applyAlignment="1">
      <alignment horizontal="left" vertical="top"/>
    </xf>
    <xf numFmtId="3" fontId="5" fillId="0" borderId="7" xfId="0" applyNumberFormat="1" applyFont="1" applyBorder="1" applyAlignment="1">
      <alignment horizontal="left" vertical="top"/>
    </xf>
    <xf numFmtId="3" fontId="5" fillId="0" borderId="8" xfId="0" applyNumberFormat="1" applyFont="1" applyBorder="1" applyAlignment="1">
      <alignment horizontal="left" vertical="top"/>
    </xf>
    <xf numFmtId="3" fontId="5" fillId="0" borderId="1" xfId="0" applyNumberFormat="1" applyFont="1" applyBorder="1" applyAlignment="1">
      <alignment horizontal="left" vertical="top"/>
    </xf>
    <xf numFmtId="3" fontId="5" fillId="0" borderId="10" xfId="0" applyNumberFormat="1" applyFont="1" applyBorder="1" applyAlignment="1">
      <alignment horizontal="left" vertical="top"/>
    </xf>
    <xf numFmtId="0" fontId="3" fillId="0" borderId="1" xfId="0" applyFont="1" applyBorder="1" applyAlignment="1">
      <alignment horizontal="left" vertical="top"/>
    </xf>
    <xf numFmtId="0" fontId="3" fillId="0" borderId="10" xfId="0" applyFont="1" applyBorder="1" applyAlignment="1">
      <alignment horizontal="left" vertical="top"/>
    </xf>
    <xf numFmtId="0" fontId="6" fillId="0" borderId="0" xfId="0" applyFont="1" applyAlignment="1">
      <alignment horizontal="center" vertical="top"/>
    </xf>
    <xf numFmtId="0" fontId="2" fillId="0" borderId="0" xfId="0" applyFont="1" applyAlignment="1">
      <alignment horizontal="center" vertical="top"/>
    </xf>
    <xf numFmtId="0" fontId="2" fillId="0" borderId="0" xfId="0" applyFont="1" applyAlignment="1">
      <alignment vertical="top" wrapText="1"/>
    </xf>
    <xf numFmtId="0" fontId="3" fillId="0" borderId="1" xfId="0" applyFont="1" applyBorder="1" applyAlignment="1">
      <alignment horizontal="justify" vertical="top"/>
    </xf>
    <xf numFmtId="0" fontId="3" fillId="0" borderId="10" xfId="0" applyFont="1" applyBorder="1" applyAlignment="1">
      <alignment horizontal="justify" vertical="top"/>
    </xf>
    <xf numFmtId="0" fontId="6" fillId="0" borderId="0" xfId="0" applyFont="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2" fillId="0" borderId="22" xfId="0" applyFont="1" applyBorder="1" applyAlignment="1">
      <alignment horizontal="center" vertical="center"/>
    </xf>
    <xf numFmtId="0" fontId="3" fillId="0" borderId="1" xfId="0" applyFont="1" applyBorder="1" applyAlignment="1">
      <alignment horizontal="justify" vertical="top" wrapText="1"/>
    </xf>
    <xf numFmtId="0" fontId="3" fillId="0" borderId="10" xfId="0" applyFont="1" applyBorder="1" applyAlignment="1">
      <alignment horizontal="justify" vertical="top" wrapText="1"/>
    </xf>
    <xf numFmtId="0" fontId="2" fillId="4" borderId="36" xfId="0" applyFont="1" applyFill="1" applyBorder="1" applyAlignment="1">
      <alignment horizontal="left" vertical="top"/>
    </xf>
    <xf numFmtId="0" fontId="2" fillId="4" borderId="37" xfId="0" applyFont="1" applyFill="1" applyBorder="1" applyAlignment="1">
      <alignment horizontal="left" vertical="top"/>
    </xf>
    <xf numFmtId="0" fontId="2" fillId="0" borderId="21" xfId="0" applyFont="1" applyBorder="1" applyAlignment="1">
      <alignment horizontal="center" wrapText="1"/>
    </xf>
    <xf numFmtId="0" fontId="2" fillId="0" borderId="33" xfId="0" applyFont="1" applyBorder="1" applyAlignment="1">
      <alignment horizontal="center" wrapText="1"/>
    </xf>
    <xf numFmtId="3" fontId="5" fillId="0" borderId="7" xfId="0" applyNumberFormat="1" applyFont="1" applyBorder="1" applyAlignment="1">
      <alignment horizontal="left" vertical="top" wrapText="1"/>
    </xf>
    <xf numFmtId="3" fontId="5" fillId="0" borderId="8" xfId="0" applyNumberFormat="1" applyFont="1" applyBorder="1" applyAlignment="1">
      <alignment horizontal="left" vertical="top" wrapText="1"/>
    </xf>
    <xf numFmtId="3" fontId="5" fillId="0" borderId="1" xfId="0" applyNumberFormat="1" applyFont="1" applyBorder="1" applyAlignment="1">
      <alignment horizontal="left" vertical="top" wrapText="1"/>
    </xf>
    <xf numFmtId="3" fontId="5" fillId="0" borderId="10" xfId="0" applyNumberFormat="1" applyFont="1" applyBorder="1" applyAlignment="1">
      <alignment horizontal="left" vertical="top" wrapText="1"/>
    </xf>
    <xf numFmtId="0" fontId="2" fillId="4" borderId="29" xfId="0" applyFont="1" applyFill="1" applyBorder="1" applyAlignment="1">
      <alignment horizontal="left" vertical="top" wrapText="1"/>
    </xf>
    <xf numFmtId="0" fontId="2" fillId="4" borderId="22" xfId="0" applyFont="1" applyFill="1" applyBorder="1" applyAlignment="1">
      <alignment horizontal="left" vertical="top" wrapText="1"/>
    </xf>
    <xf numFmtId="0" fontId="2" fillId="4" borderId="30" xfId="0" applyFont="1" applyFill="1" applyBorder="1" applyAlignment="1">
      <alignment horizontal="left" vertical="top" wrapText="1"/>
    </xf>
    <xf numFmtId="0" fontId="2" fillId="0" borderId="6" xfId="0" applyFont="1" applyBorder="1" applyAlignment="1">
      <alignment horizontal="left" vertical="top" wrapTex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7" fillId="0" borderId="0" xfId="0" applyFont="1" applyAlignment="1">
      <alignment horizontal="center"/>
    </xf>
    <xf numFmtId="0" fontId="2" fillId="0" borderId="9" xfId="0" applyFont="1" applyBorder="1" applyAlignment="1">
      <alignment horizontal="center" vertical="center"/>
    </xf>
    <xf numFmtId="0" fontId="2" fillId="0" borderId="1" xfId="0" applyFont="1" applyBorder="1" applyAlignment="1">
      <alignment horizontal="center" vertical="center"/>
    </xf>
    <xf numFmtId="0" fontId="2" fillId="0" borderId="9" xfId="0" applyFont="1" applyBorder="1" applyAlignment="1">
      <alignment horizontal="center" vertical="top"/>
    </xf>
    <xf numFmtId="0" fontId="2" fillId="0" borderId="1" xfId="0" applyFont="1" applyBorder="1" applyAlignment="1">
      <alignment horizontal="center" vertical="top"/>
    </xf>
    <xf numFmtId="0" fontId="6" fillId="0" borderId="32" xfId="0" applyFont="1" applyBorder="1" applyAlignment="1">
      <alignment horizontal="left" vertical="top"/>
    </xf>
    <xf numFmtId="0" fontId="6" fillId="0" borderId="21" xfId="0" applyFont="1" applyBorder="1" applyAlignment="1">
      <alignment horizontal="left" vertical="top"/>
    </xf>
    <xf numFmtId="0" fontId="6" fillId="0" borderId="33" xfId="0" applyFont="1" applyBorder="1" applyAlignment="1">
      <alignment horizontal="left" vertical="top"/>
    </xf>
    <xf numFmtId="0" fontId="6" fillId="0" borderId="2" xfId="0" applyFont="1" applyBorder="1" applyAlignment="1">
      <alignment horizontal="left" vertical="center"/>
    </xf>
    <xf numFmtId="0" fontId="6" fillId="0" borderId="3" xfId="0" applyFont="1" applyBorder="1" applyAlignment="1">
      <alignment horizontal="left" vertical="center"/>
    </xf>
    <xf numFmtId="0" fontId="6" fillId="0" borderId="35" xfId="0" applyFont="1" applyBorder="1" applyAlignment="1">
      <alignment horizontal="left" vertical="center"/>
    </xf>
    <xf numFmtId="0" fontId="2" fillId="0" borderId="18" xfId="0" applyFont="1" applyBorder="1" applyAlignment="1">
      <alignment horizontal="center" vertical="top"/>
    </xf>
    <xf numFmtId="0" fontId="2" fillId="0" borderId="3" xfId="0" applyFont="1" applyBorder="1" applyAlignment="1">
      <alignment horizontal="center" vertical="top"/>
    </xf>
    <xf numFmtId="0" fontId="2" fillId="0" borderId="4" xfId="0" applyFont="1" applyBorder="1" applyAlignment="1">
      <alignment horizontal="center" vertical="top"/>
    </xf>
    <xf numFmtId="0" fontId="2" fillId="3" borderId="9" xfId="0" applyFont="1" applyFill="1" applyBorder="1" applyAlignment="1">
      <alignment horizontal="left" vertical="top"/>
    </xf>
    <xf numFmtId="0" fontId="2" fillId="3" borderId="1" xfId="0" applyFont="1" applyFill="1" applyBorder="1" applyAlignment="1">
      <alignment horizontal="left" vertical="top"/>
    </xf>
    <xf numFmtId="0" fontId="2" fillId="3" borderId="10" xfId="0" applyFont="1" applyFill="1" applyBorder="1" applyAlignment="1">
      <alignment horizontal="left" vertical="top"/>
    </xf>
    <xf numFmtId="0" fontId="2" fillId="0" borderId="18"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4" borderId="9" xfId="0" applyFont="1" applyFill="1" applyBorder="1" applyAlignment="1">
      <alignment horizontal="left" vertical="top"/>
    </xf>
    <xf numFmtId="0" fontId="2" fillId="4" borderId="1" xfId="0" applyFont="1" applyFill="1" applyBorder="1" applyAlignment="1">
      <alignment horizontal="left" vertical="top"/>
    </xf>
    <xf numFmtId="0" fontId="2" fillId="4" borderId="10" xfId="0" applyFont="1" applyFill="1" applyBorder="1" applyAlignment="1">
      <alignment horizontal="left" vertical="top"/>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cellXfs>
  <cellStyles count="3">
    <cellStyle name="Comma" xfId="1" builtinId="3"/>
    <cellStyle name="Normal" xfId="0" builtinId="0"/>
    <cellStyle name="Percent" xfId="2" builtinId="5"/>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661E8D-4082-5644-A424-8DC415A4CB99}">
  <dimension ref="A1:Z58"/>
  <sheetViews>
    <sheetView tabSelected="1" topLeftCell="A25" zoomScale="61" zoomScaleNormal="133" zoomScaleSheetLayoutView="98" workbookViewId="0">
      <selection activeCell="G34" sqref="G34"/>
    </sheetView>
  </sheetViews>
  <sheetFormatPr defaultColWidth="8.81640625" defaultRowHeight="15.5" x14ac:dyDescent="0.35"/>
  <cols>
    <col min="1" max="1" width="8.81640625" style="4"/>
    <col min="2" max="2" width="12.1796875" style="4" customWidth="1"/>
    <col min="3" max="3" width="57" style="4" bestFit="1" customWidth="1"/>
    <col min="4" max="4" width="11" style="4" bestFit="1" customWidth="1"/>
    <col min="5" max="5" width="12.26953125" style="4" bestFit="1" customWidth="1"/>
    <col min="6" max="6" width="15.08984375" style="4" bestFit="1" customWidth="1"/>
    <col min="7" max="7" width="18.6328125" style="4" customWidth="1"/>
    <col min="8" max="8" width="21.6328125" style="4" customWidth="1"/>
    <col min="9" max="9" width="12.1796875" style="4" hidden="1" customWidth="1"/>
    <col min="10" max="10" width="22.1796875" style="4" hidden="1" customWidth="1"/>
    <col min="11" max="11" width="20.453125" style="4" bestFit="1" customWidth="1"/>
    <col min="12" max="12" width="22.81640625" style="4" customWidth="1"/>
    <col min="13" max="15" width="20.453125" style="4" customWidth="1"/>
    <col min="16" max="16" width="16.36328125" style="4" customWidth="1"/>
    <col min="17" max="17" width="15.36328125" style="4" customWidth="1"/>
    <col min="18" max="18" width="16.6328125" style="4" customWidth="1"/>
    <col min="19" max="19" width="11.1796875" style="4" bestFit="1" customWidth="1"/>
    <col min="20" max="20" width="16.36328125" style="4" bestFit="1" customWidth="1"/>
    <col min="21" max="21" width="14.81640625" style="4" customWidth="1"/>
    <col min="22" max="22" width="17" style="4" customWidth="1"/>
    <col min="23" max="23" width="8.81640625" style="4"/>
    <col min="24" max="24" width="17.36328125" style="4" customWidth="1"/>
    <col min="25" max="25" width="18.81640625" style="4" customWidth="1"/>
    <col min="26" max="16384" width="8.81640625" style="4"/>
  </cols>
  <sheetData>
    <row r="1" spans="1:26" s="2" customFormat="1" ht="24" customHeight="1" x14ac:dyDescent="0.35">
      <c r="B1" s="236" t="s">
        <v>188</v>
      </c>
      <c r="C1" s="236"/>
      <c r="D1" s="236"/>
      <c r="E1" s="236"/>
      <c r="F1" s="236"/>
      <c r="G1" s="236"/>
      <c r="H1" s="236"/>
      <c r="I1" s="236"/>
      <c r="J1" s="236"/>
      <c r="K1" s="236"/>
      <c r="L1" s="236"/>
      <c r="M1" s="98"/>
      <c r="N1" s="98"/>
      <c r="O1" s="98"/>
    </row>
    <row r="2" spans="1:26" s="2" customFormat="1" ht="18.5" customHeight="1" x14ac:dyDescent="0.35">
      <c r="B2" s="237" t="s">
        <v>106</v>
      </c>
      <c r="C2" s="237"/>
      <c r="D2" s="237"/>
      <c r="E2" s="237"/>
      <c r="F2" s="237"/>
      <c r="G2" s="237"/>
      <c r="H2" s="237"/>
      <c r="I2" s="237"/>
      <c r="J2" s="237"/>
      <c r="K2" s="237"/>
      <c r="L2" s="237"/>
    </row>
    <row r="3" spans="1:26" ht="60" customHeight="1" x14ac:dyDescent="0.35">
      <c r="B3" s="238" t="s">
        <v>187</v>
      </c>
      <c r="C3" s="238"/>
      <c r="D3" s="238"/>
      <c r="E3" s="238"/>
      <c r="F3" s="238"/>
      <c r="G3" s="238"/>
      <c r="H3" s="238"/>
      <c r="I3" s="238"/>
      <c r="J3" s="238"/>
      <c r="K3" s="238"/>
      <c r="L3" s="238"/>
      <c r="M3" s="132"/>
      <c r="N3" s="132"/>
      <c r="O3" s="132"/>
    </row>
    <row r="4" spans="1:26" ht="23.5" customHeight="1" thickBot="1" x14ac:dyDescent="0.4">
      <c r="B4" s="239" t="s">
        <v>55</v>
      </c>
      <c r="C4" s="239"/>
      <c r="D4" s="239"/>
      <c r="E4" s="239"/>
      <c r="F4" s="239"/>
      <c r="G4" s="239"/>
      <c r="H4" s="239"/>
      <c r="I4" s="239"/>
      <c r="J4" s="239"/>
      <c r="K4" s="239"/>
      <c r="L4" s="239"/>
      <c r="M4" s="98"/>
      <c r="N4" s="98"/>
      <c r="O4" s="98"/>
    </row>
    <row r="5" spans="1:26" s="5" customFormat="1" ht="53" customHeight="1" thickBot="1" x14ac:dyDescent="0.4">
      <c r="A5" s="47" t="s">
        <v>203</v>
      </c>
      <c r="B5" s="46" t="s">
        <v>204</v>
      </c>
      <c r="C5" s="47" t="s">
        <v>0</v>
      </c>
      <c r="D5" s="48" t="s">
        <v>99</v>
      </c>
      <c r="E5" s="48" t="s">
        <v>109</v>
      </c>
      <c r="F5" s="48" t="s">
        <v>112</v>
      </c>
      <c r="G5" s="48" t="s">
        <v>110</v>
      </c>
      <c r="H5" s="48" t="s">
        <v>111</v>
      </c>
      <c r="I5" s="47" t="s">
        <v>24</v>
      </c>
      <c r="J5" s="48" t="s">
        <v>113</v>
      </c>
      <c r="K5" s="47" t="s">
        <v>21</v>
      </c>
      <c r="L5" s="48" t="s">
        <v>114</v>
      </c>
      <c r="M5" s="44"/>
      <c r="N5" s="44"/>
      <c r="O5" s="44"/>
    </row>
    <row r="6" spans="1:26" s="5" customFormat="1" ht="36" customHeight="1" x14ac:dyDescent="0.35">
      <c r="A6" s="244" t="s">
        <v>76</v>
      </c>
      <c r="B6" s="244"/>
      <c r="C6" s="244"/>
      <c r="D6" s="244"/>
      <c r="E6" s="244"/>
      <c r="F6" s="244"/>
      <c r="G6" s="244"/>
      <c r="H6" s="244"/>
      <c r="I6" s="244"/>
      <c r="J6" s="244"/>
      <c r="K6" s="244"/>
      <c r="L6" s="245"/>
      <c r="M6" s="44"/>
      <c r="N6" s="44"/>
      <c r="O6" s="44"/>
    </row>
    <row r="7" spans="1:26" s="5" customFormat="1" ht="24" customHeight="1" x14ac:dyDescent="0.35">
      <c r="A7" s="218" t="s">
        <v>194</v>
      </c>
      <c r="B7" s="218"/>
      <c r="C7" s="218"/>
      <c r="D7" s="218"/>
      <c r="E7" s="218"/>
      <c r="F7" s="218"/>
      <c r="G7" s="218"/>
      <c r="H7" s="218"/>
      <c r="I7" s="218"/>
      <c r="J7" s="218"/>
      <c r="K7" s="218"/>
      <c r="L7" s="219"/>
      <c r="M7" s="44"/>
      <c r="N7" s="44"/>
      <c r="O7" s="44"/>
    </row>
    <row r="8" spans="1:26" ht="24" customHeight="1" x14ac:dyDescent="0.35">
      <c r="A8" s="65" t="s">
        <v>290</v>
      </c>
      <c r="B8" s="65"/>
      <c r="C8" s="65" t="s">
        <v>289</v>
      </c>
      <c r="D8" s="95"/>
      <c r="E8" s="95"/>
      <c r="F8" s="95"/>
      <c r="G8" s="95"/>
      <c r="H8" s="95"/>
      <c r="I8" s="95"/>
      <c r="J8" s="95"/>
      <c r="K8" s="95"/>
      <c r="L8" s="95"/>
      <c r="M8" s="3"/>
      <c r="N8" s="3"/>
      <c r="O8" s="3"/>
    </row>
    <row r="9" spans="1:26" ht="20" customHeight="1" x14ac:dyDescent="0.35">
      <c r="A9" s="96"/>
      <c r="B9" s="95">
        <v>1</v>
      </c>
      <c r="C9" s="19" t="s">
        <v>220</v>
      </c>
      <c r="D9" s="29" t="s">
        <v>100</v>
      </c>
      <c r="E9" s="152">
        <f>468500-33375</f>
        <v>435125</v>
      </c>
      <c r="F9" s="30">
        <v>800</v>
      </c>
      <c r="G9" s="97">
        <f>ROUND(F9*77.5%,2)</f>
        <v>620</v>
      </c>
      <c r="H9" s="153">
        <f>ROUND(E9*G9,2)</f>
        <v>269777500</v>
      </c>
      <c r="I9" s="154">
        <v>1</v>
      </c>
      <c r="J9" s="97">
        <f>H9*I9</f>
        <v>269777500</v>
      </c>
      <c r="K9" s="97">
        <f>ROUND(H9*18%,2)</f>
        <v>48559950</v>
      </c>
      <c r="L9" s="97">
        <f>H9+K9</f>
        <v>318337450</v>
      </c>
      <c r="M9" s="143">
        <f>E9*F9</f>
        <v>348100000</v>
      </c>
      <c r="N9" s="143"/>
      <c r="O9" s="143"/>
      <c r="Q9" s="14"/>
      <c r="R9" s="148"/>
    </row>
    <row r="10" spans="1:26" ht="20" customHeight="1" x14ac:dyDescent="0.35">
      <c r="A10" s="96"/>
      <c r="B10" s="95">
        <v>2</v>
      </c>
      <c r="C10" s="131" t="s">
        <v>104</v>
      </c>
      <c r="D10" s="29" t="s">
        <v>105</v>
      </c>
      <c r="E10" s="152">
        <v>1</v>
      </c>
      <c r="F10" s="152">
        <v>15000000</v>
      </c>
      <c r="G10" s="97">
        <f t="shared" ref="G10:G11" si="0">F10*77.5%</f>
        <v>11625000</v>
      </c>
      <c r="H10" s="153">
        <f t="shared" ref="H10:H11" si="1">ROUND(E10*G10,2)</f>
        <v>11625000</v>
      </c>
      <c r="I10" s="154">
        <v>1</v>
      </c>
      <c r="J10" s="97">
        <f t="shared" ref="J10:J11" si="2">H10*I10</f>
        <v>11625000</v>
      </c>
      <c r="K10" s="97">
        <f t="shared" ref="K10:K11" si="3">ROUND(H10*18%,2)</f>
        <v>2092500</v>
      </c>
      <c r="L10" s="97">
        <f t="shared" ref="L10:L11" si="4">H10+K10</f>
        <v>13717500</v>
      </c>
      <c r="M10" s="143">
        <f t="shared" ref="M10:M11" si="5">E10*F10</f>
        <v>15000000</v>
      </c>
      <c r="N10" s="143"/>
      <c r="O10" s="143"/>
      <c r="Q10" s="23"/>
      <c r="R10" s="23"/>
      <c r="S10" s="23"/>
      <c r="T10" s="23"/>
      <c r="U10" s="23"/>
      <c r="V10" s="23"/>
      <c r="X10" s="23"/>
      <c r="Y10" s="23"/>
      <c r="Z10" s="23"/>
    </row>
    <row r="11" spans="1:26" ht="20" customHeight="1" x14ac:dyDescent="0.35">
      <c r="A11" s="96"/>
      <c r="B11" s="95">
        <v>3</v>
      </c>
      <c r="C11" s="131" t="s">
        <v>107</v>
      </c>
      <c r="D11" s="29" t="s">
        <v>100</v>
      </c>
      <c r="E11" s="152">
        <v>117000</v>
      </c>
      <c r="F11" s="30">
        <v>100</v>
      </c>
      <c r="G11" s="97">
        <f t="shared" si="0"/>
        <v>77.5</v>
      </c>
      <c r="H11" s="153">
        <f t="shared" si="1"/>
        <v>9067500</v>
      </c>
      <c r="I11" s="154">
        <v>1</v>
      </c>
      <c r="J11" s="97">
        <f t="shared" si="2"/>
        <v>9067500</v>
      </c>
      <c r="K11" s="97">
        <f t="shared" si="3"/>
        <v>1632150</v>
      </c>
      <c r="L11" s="97">
        <f t="shared" si="4"/>
        <v>10699650</v>
      </c>
      <c r="M11" s="143">
        <f t="shared" si="5"/>
        <v>11700000</v>
      </c>
      <c r="N11" s="143"/>
      <c r="O11" s="143"/>
      <c r="X11" s="23"/>
      <c r="Y11" s="23"/>
      <c r="Z11" s="23"/>
    </row>
    <row r="12" spans="1:26" s="2" customFormat="1" ht="20" customHeight="1" x14ac:dyDescent="0.35">
      <c r="A12" s="19"/>
      <c r="B12" s="95">
        <v>4</v>
      </c>
      <c r="C12" s="19" t="s">
        <v>221</v>
      </c>
      <c r="D12" s="29" t="s">
        <v>100</v>
      </c>
      <c r="E12" s="152">
        <v>2830</v>
      </c>
      <c r="F12" s="30">
        <v>15000</v>
      </c>
      <c r="G12" s="97">
        <f t="shared" ref="G12" si="6">F12*77.5%</f>
        <v>11625</v>
      </c>
      <c r="H12" s="153">
        <f t="shared" ref="H12" si="7">E12*G12</f>
        <v>32898750</v>
      </c>
      <c r="I12" s="154">
        <v>1</v>
      </c>
      <c r="J12" s="97">
        <f t="shared" ref="J12" si="8">H12*I12</f>
        <v>32898750</v>
      </c>
      <c r="K12" s="97">
        <f t="shared" ref="K12" si="9">H12*18%</f>
        <v>5921775</v>
      </c>
      <c r="L12" s="97">
        <f t="shared" ref="L12" si="10">H12+K12</f>
        <v>38820525</v>
      </c>
      <c r="X12" s="23"/>
      <c r="Y12" s="23"/>
      <c r="Z12" s="23"/>
    </row>
    <row r="13" spans="1:26" ht="20" customHeight="1" x14ac:dyDescent="0.35">
      <c r="A13" s="96"/>
      <c r="B13" s="95">
        <v>5</v>
      </c>
      <c r="C13" s="19" t="s">
        <v>222</v>
      </c>
      <c r="D13" s="29" t="s">
        <v>210</v>
      </c>
      <c r="E13" s="152">
        <v>22960</v>
      </c>
      <c r="F13" s="30">
        <v>27500</v>
      </c>
      <c r="G13" s="163">
        <f>F13*77.5%</f>
        <v>21312.5</v>
      </c>
      <c r="H13" s="153">
        <f>G13*E13</f>
        <v>489335000</v>
      </c>
      <c r="I13" s="154">
        <v>1</v>
      </c>
      <c r="J13" s="97">
        <f t="shared" ref="J13" si="11">H13*I13</f>
        <v>489335000</v>
      </c>
      <c r="K13" s="97">
        <f t="shared" ref="K13" si="12">H13*18%</f>
        <v>88080300</v>
      </c>
      <c r="L13" s="97">
        <f t="shared" ref="L13" si="13">H13+K13</f>
        <v>577415300</v>
      </c>
      <c r="P13" s="141"/>
    </row>
    <row r="14" spans="1:26" ht="20" customHeight="1" x14ac:dyDescent="0.35">
      <c r="A14" s="96"/>
      <c r="B14" s="95"/>
      <c r="C14" s="9" t="s">
        <v>201</v>
      </c>
      <c r="D14" s="79"/>
      <c r="E14" s="90"/>
      <c r="F14" s="206"/>
      <c r="G14" s="207"/>
      <c r="H14" s="208">
        <f>SUM(H9:H13)</f>
        <v>812703750</v>
      </c>
      <c r="I14" s="162"/>
      <c r="J14" s="100"/>
      <c r="K14" s="100">
        <f>SUM(K9:K13)</f>
        <v>146286675</v>
      </c>
      <c r="L14" s="100">
        <f>SUM(L9:L13)</f>
        <v>958990425</v>
      </c>
      <c r="P14" s="141"/>
    </row>
    <row r="15" spans="1:26" ht="20" customHeight="1" x14ac:dyDescent="0.35">
      <c r="A15" s="96"/>
      <c r="B15" s="95"/>
      <c r="C15" s="9"/>
      <c r="D15" s="79"/>
      <c r="E15" s="90"/>
      <c r="F15" s="206"/>
      <c r="G15" s="207"/>
      <c r="H15" s="208"/>
      <c r="I15" s="162"/>
      <c r="J15" s="100"/>
      <c r="K15" s="100"/>
      <c r="L15" s="100"/>
      <c r="P15" s="141"/>
    </row>
    <row r="16" spans="1:26" ht="33" customHeight="1" x14ac:dyDescent="0.35">
      <c r="A16" s="84" t="s">
        <v>293</v>
      </c>
      <c r="B16" s="95">
        <v>1</v>
      </c>
      <c r="C16" s="205" t="s">
        <v>269</v>
      </c>
      <c r="D16" s="29" t="s">
        <v>101</v>
      </c>
      <c r="E16" s="152">
        <v>2686</v>
      </c>
      <c r="F16" s="97">
        <v>90000</v>
      </c>
      <c r="G16" s="97">
        <f t="shared" ref="G16:G17" si="14">F16*77.5%</f>
        <v>69750</v>
      </c>
      <c r="H16" s="153">
        <f>G16*E16</f>
        <v>187348500</v>
      </c>
      <c r="I16" s="154">
        <v>0.75</v>
      </c>
      <c r="J16" s="97" t="e">
        <f>#REF!*I16</f>
        <v>#REF!</v>
      </c>
      <c r="K16" s="97">
        <f t="shared" ref="K16:K17" si="15">H16*18%</f>
        <v>33722730</v>
      </c>
      <c r="L16" s="97">
        <f t="shared" ref="L16:L17" si="16">H16+K16</f>
        <v>221071230</v>
      </c>
      <c r="P16" s="14"/>
    </row>
    <row r="17" spans="1:16" ht="35" customHeight="1" x14ac:dyDescent="0.35">
      <c r="A17" s="96"/>
      <c r="B17" s="95">
        <v>2</v>
      </c>
      <c r="C17" s="205" t="s">
        <v>270</v>
      </c>
      <c r="D17" s="29" t="s">
        <v>101</v>
      </c>
      <c r="E17" s="152">
        <v>2686</v>
      </c>
      <c r="F17" s="97">
        <v>30000</v>
      </c>
      <c r="G17" s="97">
        <f t="shared" si="14"/>
        <v>23250</v>
      </c>
      <c r="H17" s="153">
        <f t="shared" ref="H17" si="17">G17*E17</f>
        <v>62449500</v>
      </c>
      <c r="I17" s="154">
        <v>0.2</v>
      </c>
      <c r="J17" s="97" t="e">
        <f>#REF!*I17</f>
        <v>#REF!</v>
      </c>
      <c r="K17" s="97">
        <f t="shared" si="15"/>
        <v>11240910</v>
      </c>
      <c r="L17" s="97">
        <f t="shared" si="16"/>
        <v>73690410</v>
      </c>
      <c r="P17" s="14"/>
    </row>
    <row r="18" spans="1:16" ht="20" customHeight="1" x14ac:dyDescent="0.35">
      <c r="A18" s="96"/>
      <c r="B18" s="95">
        <v>3</v>
      </c>
      <c r="C18" s="19" t="s">
        <v>225</v>
      </c>
      <c r="D18" s="29" t="s">
        <v>100</v>
      </c>
      <c r="E18" s="166">
        <v>540</v>
      </c>
      <c r="F18" s="30">
        <v>13000</v>
      </c>
      <c r="G18" s="97">
        <f t="shared" ref="G18" si="18">F18*77.5%</f>
        <v>10075</v>
      </c>
      <c r="H18" s="153">
        <f t="shared" ref="H18" si="19">E18*G18</f>
        <v>5440500</v>
      </c>
      <c r="I18" s="161">
        <v>1</v>
      </c>
      <c r="J18" s="97">
        <f>H18*I18</f>
        <v>5440500</v>
      </c>
      <c r="K18" s="97">
        <f t="shared" ref="K18" si="20">H18*18%</f>
        <v>979290</v>
      </c>
      <c r="L18" s="97">
        <f t="shared" ref="L18" si="21">H18+K18</f>
        <v>6419790</v>
      </c>
    </row>
    <row r="19" spans="1:16" ht="20" customHeight="1" x14ac:dyDescent="0.35">
      <c r="A19" s="96"/>
      <c r="B19" s="95">
        <v>4</v>
      </c>
      <c r="C19" s="19" t="s">
        <v>226</v>
      </c>
      <c r="D19" s="29" t="s">
        <v>102</v>
      </c>
      <c r="E19" s="152">
        <v>330</v>
      </c>
      <c r="F19" s="30">
        <v>10000</v>
      </c>
      <c r="G19" s="97">
        <f t="shared" ref="G19" si="22">F19*77.5%</f>
        <v>7750</v>
      </c>
      <c r="H19" s="153">
        <f t="shared" ref="H19" si="23">E19*G19</f>
        <v>2557500</v>
      </c>
      <c r="I19" s="161">
        <v>1</v>
      </c>
      <c r="J19" s="97">
        <f t="shared" ref="J19" si="24">H19*I19</f>
        <v>2557500</v>
      </c>
      <c r="K19" s="97">
        <f t="shared" ref="K19" si="25">H19*18%</f>
        <v>460350</v>
      </c>
      <c r="L19" s="97">
        <f t="shared" ref="L19" si="26">H19+K19</f>
        <v>3017850</v>
      </c>
    </row>
    <row r="20" spans="1:16" ht="20" customHeight="1" x14ac:dyDescent="0.35">
      <c r="A20" s="96"/>
      <c r="B20" s="95">
        <v>5</v>
      </c>
      <c r="C20" s="19" t="s">
        <v>227</v>
      </c>
      <c r="D20" s="29" t="s">
        <v>102</v>
      </c>
      <c r="E20" s="152">
        <v>7375</v>
      </c>
      <c r="F20" s="30">
        <v>2000</v>
      </c>
      <c r="G20" s="97">
        <f t="shared" ref="G20" si="27">F20*77.5%</f>
        <v>1550</v>
      </c>
      <c r="H20" s="153">
        <f t="shared" ref="H20" si="28">E20*G20</f>
        <v>11431250</v>
      </c>
      <c r="I20" s="154">
        <v>1</v>
      </c>
      <c r="J20" s="97">
        <f t="shared" ref="J20" si="29">H20*I20</f>
        <v>11431250</v>
      </c>
      <c r="K20" s="97">
        <f t="shared" ref="K20" si="30">H20*18%</f>
        <v>2057625</v>
      </c>
      <c r="L20" s="97">
        <f t="shared" ref="L20" si="31">H20+K20</f>
        <v>13488875</v>
      </c>
    </row>
    <row r="21" spans="1:16" s="14" customFormat="1" ht="20" customHeight="1" x14ac:dyDescent="0.35">
      <c r="A21" s="204"/>
      <c r="B21" s="95">
        <v>6</v>
      </c>
      <c r="C21" s="19" t="s">
        <v>228</v>
      </c>
      <c r="D21" s="29" t="s">
        <v>102</v>
      </c>
      <c r="E21" s="166">
        <v>9300</v>
      </c>
      <c r="F21" s="30">
        <v>800</v>
      </c>
      <c r="G21" s="97">
        <f t="shared" ref="G21" si="32">F21*77.5%</f>
        <v>620</v>
      </c>
      <c r="H21" s="153">
        <f t="shared" ref="H21" si="33">E21*G21</f>
        <v>5766000</v>
      </c>
      <c r="I21" s="154">
        <v>1</v>
      </c>
      <c r="J21" s="97">
        <f t="shared" ref="J21" si="34">H21*I21</f>
        <v>5766000</v>
      </c>
      <c r="K21" s="97">
        <f t="shared" ref="K21" si="35">H21*18%</f>
        <v>1037880</v>
      </c>
      <c r="L21" s="97">
        <f t="shared" ref="L21" si="36">H21+K21</f>
        <v>6803880</v>
      </c>
      <c r="M21" s="4"/>
      <c r="N21" s="4"/>
      <c r="O21" s="4"/>
      <c r="P21" s="4"/>
    </row>
    <row r="22" spans="1:16" ht="54" customHeight="1" x14ac:dyDescent="0.35">
      <c r="A22" s="96"/>
      <c r="B22" s="95">
        <v>7</v>
      </c>
      <c r="C22" s="16" t="s">
        <v>271</v>
      </c>
      <c r="D22" s="29" t="s">
        <v>98</v>
      </c>
      <c r="E22" s="152">
        <v>1</v>
      </c>
      <c r="F22" s="97">
        <v>900000</v>
      </c>
      <c r="G22" s="97">
        <f t="shared" ref="G22:G25" si="37">F22*77.5%</f>
        <v>697500</v>
      </c>
      <c r="H22" s="153">
        <f t="shared" ref="H22:H25" si="38">E22*G22</f>
        <v>697500</v>
      </c>
      <c r="I22" s="154">
        <v>1</v>
      </c>
      <c r="J22" s="97">
        <f t="shared" ref="J22:J25" si="39">H22*I22</f>
        <v>697500</v>
      </c>
      <c r="K22" s="97">
        <f t="shared" ref="K22:K25" si="40">H22*18%</f>
        <v>125550</v>
      </c>
      <c r="L22" s="97">
        <f t="shared" ref="L22:L25" si="41">H22+K22</f>
        <v>823050</v>
      </c>
    </row>
    <row r="23" spans="1:16" ht="51" customHeight="1" x14ac:dyDescent="0.35">
      <c r="A23" s="96"/>
      <c r="B23" s="95">
        <v>8</v>
      </c>
      <c r="C23" s="16" t="s">
        <v>272</v>
      </c>
      <c r="D23" s="29" t="s">
        <v>98</v>
      </c>
      <c r="E23" s="152">
        <v>1</v>
      </c>
      <c r="F23" s="97">
        <v>900000</v>
      </c>
      <c r="G23" s="97">
        <f t="shared" si="37"/>
        <v>697500</v>
      </c>
      <c r="H23" s="153">
        <f t="shared" si="38"/>
        <v>697500</v>
      </c>
      <c r="I23" s="154">
        <v>1</v>
      </c>
      <c r="J23" s="97">
        <f t="shared" si="39"/>
        <v>697500</v>
      </c>
      <c r="K23" s="97">
        <f t="shared" si="40"/>
        <v>125550</v>
      </c>
      <c r="L23" s="97">
        <f t="shared" si="41"/>
        <v>823050</v>
      </c>
    </row>
    <row r="24" spans="1:16" ht="40" customHeight="1" x14ac:dyDescent="0.35">
      <c r="A24" s="96"/>
      <c r="B24" s="95">
        <v>9</v>
      </c>
      <c r="C24" s="128" t="s">
        <v>273</v>
      </c>
      <c r="D24" s="29" t="s">
        <v>98</v>
      </c>
      <c r="E24" s="152">
        <v>1</v>
      </c>
      <c r="F24" s="97">
        <v>350000</v>
      </c>
      <c r="G24" s="97">
        <f t="shared" si="37"/>
        <v>271250</v>
      </c>
      <c r="H24" s="153">
        <f t="shared" si="38"/>
        <v>271250</v>
      </c>
      <c r="I24" s="154">
        <v>1</v>
      </c>
      <c r="J24" s="97">
        <f t="shared" si="39"/>
        <v>271250</v>
      </c>
      <c r="K24" s="97">
        <f t="shared" si="40"/>
        <v>48825</v>
      </c>
      <c r="L24" s="97">
        <f t="shared" si="41"/>
        <v>320075</v>
      </c>
    </row>
    <row r="25" spans="1:16" ht="34" customHeight="1" x14ac:dyDescent="0.35">
      <c r="A25" s="96"/>
      <c r="B25" s="95">
        <v>10</v>
      </c>
      <c r="C25" s="128" t="s">
        <v>274</v>
      </c>
      <c r="D25" s="29" t="s">
        <v>98</v>
      </c>
      <c r="E25" s="152">
        <v>1</v>
      </c>
      <c r="F25" s="97">
        <v>500000</v>
      </c>
      <c r="G25" s="97">
        <f t="shared" si="37"/>
        <v>387500</v>
      </c>
      <c r="H25" s="153">
        <f t="shared" si="38"/>
        <v>387500</v>
      </c>
      <c r="I25" s="154">
        <v>1</v>
      </c>
      <c r="J25" s="97">
        <f t="shared" si="39"/>
        <v>387500</v>
      </c>
      <c r="K25" s="97">
        <f t="shared" si="40"/>
        <v>69750</v>
      </c>
      <c r="L25" s="97">
        <f t="shared" si="41"/>
        <v>457250</v>
      </c>
    </row>
    <row r="26" spans="1:16" ht="20.5" customHeight="1" x14ac:dyDescent="0.35">
      <c r="A26" s="96"/>
      <c r="B26" s="55"/>
      <c r="C26" s="55" t="s">
        <v>201</v>
      </c>
      <c r="D26" s="55"/>
      <c r="E26" s="64"/>
      <c r="F26" s="64"/>
      <c r="G26" s="64"/>
      <c r="H26" s="100">
        <f>SUM(H16:H25)</f>
        <v>277047000</v>
      </c>
      <c r="I26" s="100"/>
      <c r="J26" s="100"/>
      <c r="K26" s="100">
        <f>SUM(K16:K25)</f>
        <v>49868460</v>
      </c>
      <c r="L26" s="100">
        <f>SUM(L16:L25)</f>
        <v>326915460</v>
      </c>
    </row>
    <row r="27" spans="1:16" ht="23" customHeight="1" x14ac:dyDescent="0.35">
      <c r="A27" s="96"/>
      <c r="B27" s="55"/>
      <c r="C27" s="55" t="s">
        <v>142</v>
      </c>
      <c r="D27" s="55"/>
      <c r="E27" s="64"/>
      <c r="F27" s="64"/>
      <c r="G27" s="64"/>
      <c r="H27" s="64">
        <f>H14+H26</f>
        <v>1089750750</v>
      </c>
      <c r="I27" s="64">
        <f t="shared" ref="I27:L27" si="42">I14+I26</f>
        <v>0</v>
      </c>
      <c r="J27" s="64">
        <f t="shared" si="42"/>
        <v>0</v>
      </c>
      <c r="K27" s="64">
        <f t="shared" si="42"/>
        <v>196155135</v>
      </c>
      <c r="L27" s="64">
        <f t="shared" si="42"/>
        <v>1285905885</v>
      </c>
    </row>
    <row r="28" spans="1:16" ht="20" customHeight="1" x14ac:dyDescent="0.35">
      <c r="A28" s="242" t="s">
        <v>120</v>
      </c>
      <c r="B28" s="242"/>
      <c r="C28" s="242"/>
      <c r="D28" s="242"/>
      <c r="E28" s="242"/>
      <c r="F28" s="242"/>
      <c r="G28" s="242"/>
      <c r="H28" s="242"/>
      <c r="I28" s="242"/>
      <c r="J28" s="242"/>
      <c r="K28" s="242"/>
      <c r="L28" s="243"/>
    </row>
    <row r="29" spans="1:16" ht="20" customHeight="1" x14ac:dyDescent="0.35">
      <c r="A29" s="65" t="s">
        <v>291</v>
      </c>
      <c r="B29" s="65"/>
      <c r="C29" s="65" t="s">
        <v>292</v>
      </c>
      <c r="D29" s="96"/>
      <c r="E29" s="96"/>
      <c r="F29" s="96"/>
      <c r="G29" s="96"/>
      <c r="H29" s="96"/>
      <c r="I29" s="96"/>
      <c r="J29" s="96"/>
      <c r="K29" s="96"/>
      <c r="L29" s="96"/>
    </row>
    <row r="30" spans="1:16" ht="20" customHeight="1" x14ac:dyDescent="0.35">
      <c r="A30" s="96"/>
      <c r="B30" s="196">
        <v>1</v>
      </c>
      <c r="C30" s="60" t="s">
        <v>212</v>
      </c>
      <c r="D30" s="56" t="s">
        <v>100</v>
      </c>
      <c r="E30" s="190">
        <v>11500</v>
      </c>
      <c r="F30" s="190">
        <v>800</v>
      </c>
      <c r="G30" s="193">
        <f>ROUND(F30*77.5%,2)</f>
        <v>620</v>
      </c>
      <c r="H30" s="200">
        <f>ROUND(E30*G30,2)</f>
        <v>7130000</v>
      </c>
      <c r="I30" s="175">
        <v>1</v>
      </c>
      <c r="J30" s="193">
        <f>H30*I30</f>
        <v>7130000</v>
      </c>
      <c r="K30" s="193">
        <f>ROUND(H30*18%,2)</f>
        <v>1283400</v>
      </c>
      <c r="L30" s="193">
        <f t="shared" ref="L30" si="43">H30+K30</f>
        <v>8413400</v>
      </c>
      <c r="M30" s="143"/>
      <c r="N30" s="143"/>
      <c r="O30" s="143"/>
    </row>
    <row r="31" spans="1:16" s="2" customFormat="1" ht="20" customHeight="1" x14ac:dyDescent="0.35">
      <c r="A31" s="19"/>
      <c r="B31" s="196">
        <v>2</v>
      </c>
      <c r="C31" s="60" t="s">
        <v>229</v>
      </c>
      <c r="D31" s="56" t="s">
        <v>100</v>
      </c>
      <c r="E31" s="190">
        <v>170</v>
      </c>
      <c r="F31" s="190">
        <v>15000</v>
      </c>
      <c r="G31" s="193">
        <f t="shared" ref="G31" si="44">F31*77.5%</f>
        <v>11625</v>
      </c>
      <c r="H31" s="200">
        <f t="shared" ref="H31" si="45">E31*G31</f>
        <v>1976250</v>
      </c>
      <c r="I31" s="175">
        <v>1</v>
      </c>
      <c r="J31" s="193">
        <f t="shared" ref="J31" si="46">H31*I31</f>
        <v>1976250</v>
      </c>
      <c r="K31" s="193">
        <f t="shared" ref="K31" si="47">H31*18%</f>
        <v>355725</v>
      </c>
      <c r="L31" s="193">
        <f t="shared" ref="L31" si="48">H31+K31</f>
        <v>2331975</v>
      </c>
    </row>
    <row r="32" spans="1:16" ht="20" customHeight="1" x14ac:dyDescent="0.35">
      <c r="A32" s="96"/>
      <c r="B32" s="196">
        <v>3</v>
      </c>
      <c r="C32" s="60" t="s">
        <v>230</v>
      </c>
      <c r="D32" s="56" t="s">
        <v>100</v>
      </c>
      <c r="E32" s="190">
        <v>1040</v>
      </c>
      <c r="F32" s="190">
        <v>27500</v>
      </c>
      <c r="G32" s="193">
        <f>F32*77.5%</f>
        <v>21312.5</v>
      </c>
      <c r="H32" s="200">
        <f>E32*G32</f>
        <v>22165000</v>
      </c>
      <c r="I32" s="175">
        <v>1</v>
      </c>
      <c r="J32" s="193">
        <f>H32*I32</f>
        <v>22165000</v>
      </c>
      <c r="K32" s="193">
        <f t="shared" ref="K32" si="49">H32*18%</f>
        <v>3989700</v>
      </c>
      <c r="L32" s="193">
        <f t="shared" ref="L32" si="50">H32+K32</f>
        <v>26154700</v>
      </c>
    </row>
    <row r="33" spans="1:17" ht="48" customHeight="1" x14ac:dyDescent="0.35">
      <c r="A33" s="96"/>
      <c r="B33" s="196">
        <v>4</v>
      </c>
      <c r="C33" s="62" t="s">
        <v>257</v>
      </c>
      <c r="D33" s="56" t="s">
        <v>101</v>
      </c>
      <c r="E33" s="190">
        <v>114</v>
      </c>
      <c r="F33" s="190">
        <v>90000</v>
      </c>
      <c r="G33" s="193">
        <f>F33*77.5%</f>
        <v>69750</v>
      </c>
      <c r="H33" s="200">
        <f>G33*E33</f>
        <v>7951500</v>
      </c>
      <c r="I33" s="175">
        <v>0.75</v>
      </c>
      <c r="J33" s="193" t="e">
        <f>#REF!*I33</f>
        <v>#REF!</v>
      </c>
      <c r="K33" s="193">
        <f t="shared" ref="K33:K34" si="51">H33*18%</f>
        <v>1431270</v>
      </c>
      <c r="L33" s="193">
        <f t="shared" ref="L33:L34" si="52">H33+K33</f>
        <v>9382770</v>
      </c>
      <c r="M33" s="4">
        <v>4185000</v>
      </c>
      <c r="P33" s="4">
        <f>M33/77.5%</f>
        <v>5400000</v>
      </c>
      <c r="Q33" s="14">
        <f>P33/E33</f>
        <v>47368.42105263158</v>
      </c>
    </row>
    <row r="34" spans="1:17" ht="49" customHeight="1" x14ac:dyDescent="0.35">
      <c r="A34" s="96"/>
      <c r="B34" s="196">
        <v>5</v>
      </c>
      <c r="C34" s="62" t="s">
        <v>258</v>
      </c>
      <c r="D34" s="56" t="s">
        <v>101</v>
      </c>
      <c r="E34" s="190">
        <v>114</v>
      </c>
      <c r="F34" s="190">
        <v>30000</v>
      </c>
      <c r="G34" s="193">
        <f t="shared" ref="G34" si="53">F34*77.5%</f>
        <v>23250</v>
      </c>
      <c r="H34" s="200">
        <f t="shared" ref="H34" si="54">G34*E34</f>
        <v>2650500</v>
      </c>
      <c r="I34" s="175">
        <v>0.2</v>
      </c>
      <c r="J34" s="193" t="e">
        <f>#REF!*I34</f>
        <v>#REF!</v>
      </c>
      <c r="K34" s="193">
        <f t="shared" si="51"/>
        <v>477090</v>
      </c>
      <c r="L34" s="193">
        <f t="shared" si="52"/>
        <v>3127590</v>
      </c>
      <c r="M34" s="4">
        <v>1116000</v>
      </c>
      <c r="P34" s="4">
        <f t="shared" ref="P34" si="55">M34/77.5%</f>
        <v>1440000</v>
      </c>
      <c r="Q34" s="14">
        <f t="shared" ref="Q34" si="56">P34/E34</f>
        <v>12631.578947368422</v>
      </c>
    </row>
    <row r="35" spans="1:17" ht="20" customHeight="1" x14ac:dyDescent="0.35">
      <c r="A35" s="96"/>
      <c r="B35" s="196">
        <v>6</v>
      </c>
      <c r="C35" s="60" t="s">
        <v>217</v>
      </c>
      <c r="D35" s="56" t="s">
        <v>100</v>
      </c>
      <c r="E35" s="201">
        <v>460</v>
      </c>
      <c r="F35" s="190">
        <v>13000</v>
      </c>
      <c r="G35" s="193">
        <f t="shared" ref="G35:G42" si="57">F35*77.5%</f>
        <v>10075</v>
      </c>
      <c r="H35" s="200">
        <f t="shared" ref="H35:H41" si="58">E35*G35</f>
        <v>4634500</v>
      </c>
      <c r="I35" s="175">
        <v>1</v>
      </c>
      <c r="J35" s="193">
        <f t="shared" ref="J35:J41" si="59">H35*I35</f>
        <v>4634500</v>
      </c>
      <c r="K35" s="193">
        <f t="shared" ref="K35" si="60">H35*18%</f>
        <v>834210</v>
      </c>
      <c r="L35" s="193">
        <f t="shared" ref="L35" si="61">H35+K35</f>
        <v>5468710</v>
      </c>
    </row>
    <row r="36" spans="1:17" ht="20" customHeight="1" x14ac:dyDescent="0.35">
      <c r="A36" s="96"/>
      <c r="B36" s="196">
        <v>7</v>
      </c>
      <c r="C36" s="197" t="s">
        <v>231</v>
      </c>
      <c r="D36" s="56" t="s">
        <v>102</v>
      </c>
      <c r="E36" s="190">
        <v>310</v>
      </c>
      <c r="F36" s="190">
        <v>10000</v>
      </c>
      <c r="G36" s="193">
        <f t="shared" si="57"/>
        <v>7750</v>
      </c>
      <c r="H36" s="200">
        <f t="shared" si="58"/>
        <v>2402500</v>
      </c>
      <c r="I36" s="175">
        <v>1</v>
      </c>
      <c r="J36" s="193">
        <f t="shared" si="59"/>
        <v>2402500</v>
      </c>
      <c r="K36" s="193">
        <f t="shared" ref="K36" si="62">H36*18%</f>
        <v>432450</v>
      </c>
      <c r="L36" s="193">
        <f t="shared" ref="L36" si="63">H36+K36</f>
        <v>2834950</v>
      </c>
    </row>
    <row r="37" spans="1:17" s="14" customFormat="1" ht="20" customHeight="1" x14ac:dyDescent="0.35">
      <c r="A37" s="204"/>
      <c r="B37" s="196">
        <v>8</v>
      </c>
      <c r="C37" s="197" t="s">
        <v>232</v>
      </c>
      <c r="D37" s="56" t="s">
        <v>102</v>
      </c>
      <c r="E37" s="190">
        <v>625</v>
      </c>
      <c r="F37" s="190">
        <v>2000</v>
      </c>
      <c r="G37" s="193">
        <f t="shared" si="57"/>
        <v>1550</v>
      </c>
      <c r="H37" s="200">
        <f t="shared" si="58"/>
        <v>968750</v>
      </c>
      <c r="I37" s="175">
        <v>1</v>
      </c>
      <c r="J37" s="193">
        <f t="shared" si="59"/>
        <v>968750</v>
      </c>
      <c r="K37" s="193">
        <f t="shared" ref="K37" si="64">H37*18%</f>
        <v>174375</v>
      </c>
      <c r="L37" s="193">
        <f t="shared" ref="L37" si="65">H37+K37</f>
        <v>1143125</v>
      </c>
      <c r="M37" s="4"/>
      <c r="N37" s="4"/>
      <c r="O37" s="4"/>
      <c r="P37" s="4"/>
    </row>
    <row r="38" spans="1:17" ht="20" customHeight="1" x14ac:dyDescent="0.35">
      <c r="A38" s="96"/>
      <c r="B38" s="196">
        <v>9</v>
      </c>
      <c r="C38" s="197" t="s">
        <v>233</v>
      </c>
      <c r="D38" s="56" t="s">
        <v>102</v>
      </c>
      <c r="E38" s="201">
        <v>8950</v>
      </c>
      <c r="F38" s="190">
        <v>800</v>
      </c>
      <c r="G38" s="193">
        <f t="shared" si="57"/>
        <v>620</v>
      </c>
      <c r="H38" s="200">
        <f t="shared" si="58"/>
        <v>5549000</v>
      </c>
      <c r="I38" s="175">
        <v>1</v>
      </c>
      <c r="J38" s="193">
        <f t="shared" si="59"/>
        <v>5549000</v>
      </c>
      <c r="K38" s="193">
        <f t="shared" ref="K38" si="66">H38*18%</f>
        <v>998820</v>
      </c>
      <c r="L38" s="193">
        <f t="shared" ref="L38" si="67">H38+K38</f>
        <v>6547820</v>
      </c>
    </row>
    <row r="39" spans="1:17" ht="39" customHeight="1" x14ac:dyDescent="0.35">
      <c r="A39" s="96"/>
      <c r="B39" s="196">
        <v>10</v>
      </c>
      <c r="C39" s="62" t="s">
        <v>259</v>
      </c>
      <c r="D39" s="56" t="s">
        <v>98</v>
      </c>
      <c r="E39" s="190">
        <v>1</v>
      </c>
      <c r="F39" s="193">
        <v>1200000</v>
      </c>
      <c r="G39" s="193">
        <f t="shared" si="57"/>
        <v>930000</v>
      </c>
      <c r="H39" s="200">
        <f t="shared" si="58"/>
        <v>930000</v>
      </c>
      <c r="I39" s="175">
        <v>1</v>
      </c>
      <c r="J39" s="193">
        <f t="shared" si="59"/>
        <v>930000</v>
      </c>
      <c r="K39" s="193">
        <f t="shared" ref="K39:K41" si="68">H39*18%</f>
        <v>167400</v>
      </c>
      <c r="L39" s="193">
        <f t="shared" ref="L39:L41" si="69">H39+K39</f>
        <v>1097400</v>
      </c>
    </row>
    <row r="40" spans="1:17" ht="45" customHeight="1" x14ac:dyDescent="0.35">
      <c r="A40" s="96"/>
      <c r="B40" s="196">
        <v>11</v>
      </c>
      <c r="C40" s="62" t="s">
        <v>260</v>
      </c>
      <c r="D40" s="56" t="s">
        <v>98</v>
      </c>
      <c r="E40" s="190">
        <v>1</v>
      </c>
      <c r="F40" s="193">
        <v>1000000</v>
      </c>
      <c r="G40" s="193">
        <f t="shared" si="57"/>
        <v>775000</v>
      </c>
      <c r="H40" s="200">
        <f t="shared" si="58"/>
        <v>775000</v>
      </c>
      <c r="I40" s="175">
        <v>1</v>
      </c>
      <c r="J40" s="193">
        <f t="shared" si="59"/>
        <v>775000</v>
      </c>
      <c r="K40" s="193">
        <f t="shared" si="68"/>
        <v>139500</v>
      </c>
      <c r="L40" s="193">
        <f t="shared" si="69"/>
        <v>914500</v>
      </c>
    </row>
    <row r="41" spans="1:17" ht="43" customHeight="1" x14ac:dyDescent="0.35">
      <c r="A41" s="96"/>
      <c r="B41" s="196">
        <v>12</v>
      </c>
      <c r="C41" s="62" t="s">
        <v>261</v>
      </c>
      <c r="D41" s="56" t="s">
        <v>98</v>
      </c>
      <c r="E41" s="190">
        <v>1</v>
      </c>
      <c r="F41" s="193">
        <f>150000</f>
        <v>150000</v>
      </c>
      <c r="G41" s="193">
        <f t="shared" si="57"/>
        <v>116250</v>
      </c>
      <c r="H41" s="200">
        <f t="shared" si="58"/>
        <v>116250</v>
      </c>
      <c r="I41" s="175">
        <v>1</v>
      </c>
      <c r="J41" s="193">
        <f t="shared" si="59"/>
        <v>116250</v>
      </c>
      <c r="K41" s="193">
        <f t="shared" si="68"/>
        <v>20925</v>
      </c>
      <c r="L41" s="193">
        <f t="shared" si="69"/>
        <v>137175</v>
      </c>
    </row>
    <row r="42" spans="1:17" ht="20" customHeight="1" x14ac:dyDescent="0.35">
      <c r="A42" s="96"/>
      <c r="B42" s="196">
        <v>13</v>
      </c>
      <c r="C42" s="202" t="s">
        <v>275</v>
      </c>
      <c r="D42" s="56" t="s">
        <v>102</v>
      </c>
      <c r="E42" s="190">
        <v>16500</v>
      </c>
      <c r="F42" s="190">
        <v>1500</v>
      </c>
      <c r="G42" s="193">
        <f t="shared" si="57"/>
        <v>1162.5</v>
      </c>
      <c r="H42" s="200">
        <f>G42*E42</f>
        <v>19181250</v>
      </c>
      <c r="I42" s="175">
        <v>0.25</v>
      </c>
      <c r="J42" s="193" t="e">
        <f>#REF!*I42</f>
        <v>#REF!</v>
      </c>
      <c r="K42" s="193">
        <f t="shared" ref="K42:K49" si="70">H42*18%</f>
        <v>3452625</v>
      </c>
      <c r="L42" s="193">
        <f t="shared" ref="L42:L49" si="71">H42+K42</f>
        <v>22633875</v>
      </c>
      <c r="M42" s="203">
        <v>19181250</v>
      </c>
      <c r="N42" s="23"/>
      <c r="O42" s="23"/>
      <c r="P42" s="143">
        <f>M42/E42</f>
        <v>1162.5</v>
      </c>
      <c r="Q42" s="4">
        <f>P42/77.5%</f>
        <v>1500</v>
      </c>
    </row>
    <row r="43" spans="1:17" ht="20" customHeight="1" x14ac:dyDescent="0.35">
      <c r="A43" s="96"/>
      <c r="B43" s="196">
        <v>14</v>
      </c>
      <c r="C43" s="202" t="s">
        <v>276</v>
      </c>
      <c r="D43" s="56" t="s">
        <v>102</v>
      </c>
      <c r="E43" s="190">
        <v>16500</v>
      </c>
      <c r="F43" s="190">
        <v>1500</v>
      </c>
      <c r="G43" s="193">
        <f t="shared" ref="G43:G45" si="72">F43*77.5%</f>
        <v>1162.5</v>
      </c>
      <c r="H43" s="200">
        <f t="shared" ref="H43:H45" si="73">G43*E43</f>
        <v>19181250</v>
      </c>
      <c r="I43" s="175">
        <v>0.25</v>
      </c>
      <c r="J43" s="193" t="e">
        <f>#REF!*I43</f>
        <v>#REF!</v>
      </c>
      <c r="K43" s="193">
        <f t="shared" si="70"/>
        <v>3452625</v>
      </c>
      <c r="L43" s="193">
        <f t="shared" si="71"/>
        <v>22633875</v>
      </c>
      <c r="M43" s="203">
        <v>19181250</v>
      </c>
      <c r="N43" s="23"/>
      <c r="O43" s="23"/>
      <c r="P43" s="143">
        <f t="shared" ref="P43:P45" si="74">M43/E43</f>
        <v>1162.5</v>
      </c>
      <c r="Q43" s="4">
        <f t="shared" ref="Q43:Q45" si="75">P43/77.5%</f>
        <v>1500</v>
      </c>
    </row>
    <row r="44" spans="1:17" ht="20" customHeight="1" x14ac:dyDescent="0.35">
      <c r="A44" s="96"/>
      <c r="B44" s="196">
        <v>15</v>
      </c>
      <c r="C44" s="202" t="s">
        <v>277</v>
      </c>
      <c r="D44" s="56" t="s">
        <v>102</v>
      </c>
      <c r="E44" s="190">
        <v>16500</v>
      </c>
      <c r="F44" s="190">
        <v>2100</v>
      </c>
      <c r="G44" s="193">
        <f t="shared" si="72"/>
        <v>1627.5</v>
      </c>
      <c r="H44" s="200">
        <f t="shared" si="73"/>
        <v>26853750</v>
      </c>
      <c r="I44" s="175">
        <v>0.35</v>
      </c>
      <c r="J44" s="193" t="e">
        <f>#REF!*I44</f>
        <v>#REF!</v>
      </c>
      <c r="K44" s="193">
        <f t="shared" si="70"/>
        <v>4833675</v>
      </c>
      <c r="L44" s="193">
        <f t="shared" si="71"/>
        <v>31687425</v>
      </c>
      <c r="M44" s="203">
        <v>26853750</v>
      </c>
      <c r="N44" s="23"/>
      <c r="O44" s="23"/>
      <c r="P44" s="143">
        <f t="shared" si="74"/>
        <v>1627.5</v>
      </c>
      <c r="Q44" s="4">
        <f t="shared" si="75"/>
        <v>2100</v>
      </c>
    </row>
    <row r="45" spans="1:17" ht="20" customHeight="1" x14ac:dyDescent="0.35">
      <c r="A45" s="96"/>
      <c r="B45" s="196">
        <v>16</v>
      </c>
      <c r="C45" s="202" t="s">
        <v>278</v>
      </c>
      <c r="D45" s="56" t="s">
        <v>102</v>
      </c>
      <c r="E45" s="190">
        <v>16500</v>
      </c>
      <c r="F45" s="190">
        <v>900</v>
      </c>
      <c r="G45" s="193">
        <f t="shared" si="72"/>
        <v>697.5</v>
      </c>
      <c r="H45" s="200">
        <f t="shared" si="73"/>
        <v>11508750</v>
      </c>
      <c r="I45" s="175">
        <v>0.15</v>
      </c>
      <c r="J45" s="193" t="e">
        <f>#REF!*I45</f>
        <v>#REF!</v>
      </c>
      <c r="K45" s="193">
        <f t="shared" si="70"/>
        <v>2071575</v>
      </c>
      <c r="L45" s="193">
        <f t="shared" si="71"/>
        <v>13580325</v>
      </c>
      <c r="M45" s="203">
        <v>11508750</v>
      </c>
      <c r="N45" s="23"/>
      <c r="O45" s="23"/>
      <c r="P45" s="143">
        <f t="shared" si="74"/>
        <v>697.5</v>
      </c>
      <c r="Q45" s="4">
        <f t="shared" si="75"/>
        <v>900</v>
      </c>
    </row>
    <row r="46" spans="1:17" ht="20" customHeight="1" x14ac:dyDescent="0.35">
      <c r="A46" s="96"/>
      <c r="B46" s="196">
        <v>17</v>
      </c>
      <c r="C46" s="202" t="s">
        <v>279</v>
      </c>
      <c r="D46" s="56" t="s">
        <v>108</v>
      </c>
      <c r="E46" s="190">
        <v>3000</v>
      </c>
      <c r="F46" s="190">
        <v>1750</v>
      </c>
      <c r="G46" s="193">
        <f>F46*77.5%</f>
        <v>1356.25</v>
      </c>
      <c r="H46" s="200">
        <f t="shared" ref="H46:H49" si="76">G46*E46</f>
        <v>4068750</v>
      </c>
      <c r="I46" s="175">
        <v>0.25</v>
      </c>
      <c r="J46" s="193" t="e">
        <f>#REF!*I46</f>
        <v>#REF!</v>
      </c>
      <c r="K46" s="193">
        <f t="shared" si="70"/>
        <v>732375</v>
      </c>
      <c r="L46" s="193">
        <f t="shared" si="71"/>
        <v>4801125</v>
      </c>
      <c r="M46" s="144">
        <v>4068750</v>
      </c>
      <c r="N46" s="144"/>
      <c r="O46" s="144"/>
      <c r="P46" s="143">
        <f>M46/E46</f>
        <v>1356.25</v>
      </c>
      <c r="Q46" s="4">
        <f t="shared" ref="Q46:Q49" si="77">P46/77.5%</f>
        <v>1750</v>
      </c>
    </row>
    <row r="47" spans="1:17" ht="20" customHeight="1" x14ac:dyDescent="0.35">
      <c r="A47" s="96"/>
      <c r="B47" s="196">
        <v>18</v>
      </c>
      <c r="C47" s="202" t="s">
        <v>280</v>
      </c>
      <c r="D47" s="56" t="s">
        <v>108</v>
      </c>
      <c r="E47" s="190">
        <v>3000</v>
      </c>
      <c r="F47" s="190">
        <v>700</v>
      </c>
      <c r="G47" s="193">
        <f t="shared" ref="G47:G49" si="78">F47*77.5%</f>
        <v>542.5</v>
      </c>
      <c r="H47" s="200">
        <f t="shared" si="76"/>
        <v>1627500</v>
      </c>
      <c r="I47" s="175">
        <v>0.1</v>
      </c>
      <c r="J47" s="193" t="e">
        <f>#REF!*I47</f>
        <v>#REF!</v>
      </c>
      <c r="K47" s="193">
        <f t="shared" si="70"/>
        <v>292950</v>
      </c>
      <c r="L47" s="193">
        <f t="shared" si="71"/>
        <v>1920450</v>
      </c>
      <c r="M47" s="144">
        <v>1627500</v>
      </c>
      <c r="N47" s="144"/>
      <c r="O47" s="144"/>
      <c r="P47" s="143">
        <f t="shared" ref="P47:P49" si="79">M47/E47</f>
        <v>542.5</v>
      </c>
      <c r="Q47" s="4">
        <f t="shared" si="77"/>
        <v>700</v>
      </c>
    </row>
    <row r="48" spans="1:17" ht="20" customHeight="1" x14ac:dyDescent="0.35">
      <c r="A48" s="96"/>
      <c r="B48" s="196">
        <v>19</v>
      </c>
      <c r="C48" s="202" t="s">
        <v>281</v>
      </c>
      <c r="D48" s="56" t="s">
        <v>108</v>
      </c>
      <c r="E48" s="190">
        <v>3000</v>
      </c>
      <c r="F48" s="190">
        <v>3500</v>
      </c>
      <c r="G48" s="193">
        <f t="shared" si="78"/>
        <v>2712.5</v>
      </c>
      <c r="H48" s="200">
        <f t="shared" si="76"/>
        <v>8137500</v>
      </c>
      <c r="I48" s="175">
        <v>0.5</v>
      </c>
      <c r="J48" s="193" t="e">
        <f>#REF!*I48</f>
        <v>#REF!</v>
      </c>
      <c r="K48" s="193">
        <f t="shared" si="70"/>
        <v>1464750</v>
      </c>
      <c r="L48" s="193">
        <f t="shared" si="71"/>
        <v>9602250</v>
      </c>
      <c r="M48" s="144">
        <v>8137500</v>
      </c>
      <c r="N48" s="144"/>
      <c r="O48" s="144"/>
      <c r="P48" s="143">
        <f t="shared" si="79"/>
        <v>2712.5</v>
      </c>
      <c r="Q48" s="4">
        <f t="shared" si="77"/>
        <v>3500</v>
      </c>
    </row>
    <row r="49" spans="1:17" ht="20" customHeight="1" x14ac:dyDescent="0.35">
      <c r="A49" s="96"/>
      <c r="B49" s="196">
        <v>20</v>
      </c>
      <c r="C49" s="202" t="s">
        <v>282</v>
      </c>
      <c r="D49" s="56" t="s">
        <v>108</v>
      </c>
      <c r="E49" s="190">
        <v>3000</v>
      </c>
      <c r="F49" s="190">
        <v>1050</v>
      </c>
      <c r="G49" s="193">
        <f t="shared" si="78"/>
        <v>813.75</v>
      </c>
      <c r="H49" s="200">
        <f t="shared" si="76"/>
        <v>2441250</v>
      </c>
      <c r="I49" s="175">
        <v>0.15</v>
      </c>
      <c r="J49" s="193" t="e">
        <f>#REF!*I49</f>
        <v>#REF!</v>
      </c>
      <c r="K49" s="193">
        <f t="shared" si="70"/>
        <v>439425</v>
      </c>
      <c r="L49" s="193">
        <f t="shared" si="71"/>
        <v>2880675</v>
      </c>
      <c r="M49" s="144">
        <v>2441250</v>
      </c>
      <c r="N49" s="144"/>
      <c r="O49" s="144"/>
      <c r="P49" s="143">
        <f t="shared" si="79"/>
        <v>813.75</v>
      </c>
      <c r="Q49" s="4">
        <f t="shared" si="77"/>
        <v>1050</v>
      </c>
    </row>
    <row r="50" spans="1:17" s="2" customFormat="1" ht="34.75" customHeight="1" x14ac:dyDescent="0.35">
      <c r="A50" s="19"/>
      <c r="B50" s="9" t="s">
        <v>143</v>
      </c>
      <c r="C50" s="9"/>
      <c r="D50" s="9"/>
      <c r="E50" s="9"/>
      <c r="F50" s="9"/>
      <c r="G50" s="9"/>
      <c r="H50" s="155">
        <f>SUM(H30:H49)</f>
        <v>150249250</v>
      </c>
      <c r="I50" s="9"/>
      <c r="J50" s="155"/>
      <c r="K50" s="155">
        <f>SUM(K30:K49)</f>
        <v>27044865</v>
      </c>
      <c r="L50" s="155">
        <f>SUM(L30:L49)</f>
        <v>177294115</v>
      </c>
    </row>
    <row r="51" spans="1:17" ht="30" customHeight="1" thickBot="1" x14ac:dyDescent="0.4">
      <c r="B51" s="222" t="s">
        <v>54</v>
      </c>
      <c r="C51" s="223"/>
      <c r="D51" s="223"/>
      <c r="E51" s="223"/>
      <c r="F51" s="223"/>
      <c r="G51" s="223"/>
      <c r="H51" s="223"/>
      <c r="I51" s="223"/>
      <c r="J51" s="223"/>
      <c r="K51" s="223"/>
      <c r="L51" s="224"/>
    </row>
    <row r="52" spans="1:17" ht="33" customHeight="1" x14ac:dyDescent="0.35">
      <c r="B52" s="110" t="s">
        <v>53</v>
      </c>
      <c r="C52" s="246" t="s">
        <v>49</v>
      </c>
      <c r="D52" s="246"/>
      <c r="E52" s="246"/>
      <c r="F52" s="246"/>
      <c r="G52" s="246"/>
      <c r="H52" s="246"/>
      <c r="I52" s="246"/>
      <c r="J52" s="246"/>
      <c r="K52" s="246"/>
      <c r="L52" s="247"/>
    </row>
    <row r="53" spans="1:17" ht="35.5" customHeight="1" x14ac:dyDescent="0.35">
      <c r="B53" s="70" t="s">
        <v>50</v>
      </c>
      <c r="C53" s="248" t="s">
        <v>22</v>
      </c>
      <c r="D53" s="248"/>
      <c r="E53" s="248"/>
      <c r="F53" s="248"/>
      <c r="G53" s="248"/>
      <c r="H53" s="248"/>
      <c r="I53" s="248"/>
      <c r="J53" s="248"/>
      <c r="K53" s="248"/>
      <c r="L53" s="249"/>
    </row>
    <row r="54" spans="1:17" ht="37.5" customHeight="1" x14ac:dyDescent="0.35">
      <c r="B54" s="70" t="s">
        <v>51</v>
      </c>
      <c r="C54" s="248" t="s">
        <v>52</v>
      </c>
      <c r="D54" s="248"/>
      <c r="E54" s="248"/>
      <c r="F54" s="248"/>
      <c r="G54" s="248"/>
      <c r="H54" s="248"/>
      <c r="I54" s="248"/>
      <c r="J54" s="248"/>
      <c r="K54" s="248"/>
      <c r="L54" s="249"/>
    </row>
    <row r="55" spans="1:17" ht="27.5" customHeight="1" x14ac:dyDescent="0.35">
      <c r="B55" s="54" t="s">
        <v>78</v>
      </c>
      <c r="C55" s="229" t="s">
        <v>97</v>
      </c>
      <c r="D55" s="229"/>
      <c r="E55" s="229"/>
      <c r="F55" s="229"/>
      <c r="G55" s="229"/>
      <c r="H55" s="229"/>
      <c r="I55" s="229"/>
      <c r="J55" s="229"/>
      <c r="K55" s="229"/>
      <c r="L55" s="230"/>
    </row>
    <row r="56" spans="1:17" ht="43.75" customHeight="1" x14ac:dyDescent="0.35">
      <c r="B56" s="54" t="s">
        <v>79</v>
      </c>
      <c r="C56" s="240" t="s">
        <v>191</v>
      </c>
      <c r="D56" s="240"/>
      <c r="E56" s="240"/>
      <c r="F56" s="240"/>
      <c r="G56" s="240"/>
      <c r="H56" s="240"/>
      <c r="I56" s="240"/>
      <c r="J56" s="240"/>
      <c r="K56" s="240"/>
      <c r="L56" s="241"/>
    </row>
    <row r="57" spans="1:17" ht="31.25" customHeight="1" x14ac:dyDescent="0.35">
      <c r="B57" s="54" t="s">
        <v>86</v>
      </c>
      <c r="C57" s="229" t="s">
        <v>192</v>
      </c>
      <c r="D57" s="229"/>
      <c r="E57" s="229"/>
      <c r="F57" s="229"/>
      <c r="G57" s="229"/>
      <c r="H57" s="229"/>
      <c r="I57" s="229"/>
      <c r="J57" s="229"/>
      <c r="K57" s="229"/>
      <c r="L57" s="230"/>
    </row>
    <row r="58" spans="1:17" ht="33" customHeight="1" thickBot="1" x14ac:dyDescent="0.4">
      <c r="B58" s="111" t="s">
        <v>119</v>
      </c>
      <c r="C58" s="214" t="s">
        <v>190</v>
      </c>
      <c r="D58" s="214"/>
      <c r="E58" s="214"/>
      <c r="F58" s="214"/>
      <c r="G58" s="214"/>
      <c r="H58" s="214"/>
      <c r="I58" s="214"/>
      <c r="J58" s="214"/>
      <c r="K58" s="214"/>
      <c r="L58" s="215"/>
    </row>
  </sheetData>
  <mergeCells count="15">
    <mergeCell ref="C57:L57"/>
    <mergeCell ref="C58:L58"/>
    <mergeCell ref="A28:L28"/>
    <mergeCell ref="A6:L6"/>
    <mergeCell ref="A7:L7"/>
    <mergeCell ref="B51:L51"/>
    <mergeCell ref="C52:L52"/>
    <mergeCell ref="C53:L53"/>
    <mergeCell ref="C54:L54"/>
    <mergeCell ref="C55:L55"/>
    <mergeCell ref="B1:L1"/>
    <mergeCell ref="B2:L2"/>
    <mergeCell ref="B3:L3"/>
    <mergeCell ref="B4:L4"/>
    <mergeCell ref="C56:L56"/>
  </mergeCells>
  <printOptions horizontalCentered="1"/>
  <pageMargins left="0.23622047244094491" right="0.23622047244094491" top="0.15748031496062992" bottom="0.86614173228346458" header="0.31496062992125984" footer="0.11811023622047245"/>
  <pageSetup paperSize="9" scale="63" fitToHeight="100" orientation="landscape" r:id="rId1"/>
  <headerFooter>
    <oddFooter>&amp;C&amp;P of &amp;N</oddFooter>
  </headerFooter>
  <rowBreaks count="1" manualBreakCount="1">
    <brk id="48" min="1" max="11"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56AD2-6B28-B743-B2BF-AC1920DEA67A}">
  <dimension ref="A1:W66"/>
  <sheetViews>
    <sheetView zoomScale="84" zoomScaleNormal="109" zoomScaleSheetLayoutView="82" workbookViewId="0">
      <selection activeCell="H57" sqref="H57"/>
    </sheetView>
  </sheetViews>
  <sheetFormatPr defaultColWidth="8.81640625" defaultRowHeight="15.5" x14ac:dyDescent="0.35"/>
  <cols>
    <col min="1" max="1" width="8.81640625" style="4"/>
    <col min="2" max="2" width="10.1796875" style="27" customWidth="1"/>
    <col min="3" max="3" width="56.1796875" style="4" bestFit="1" customWidth="1"/>
    <col min="4" max="4" width="10.453125" style="28" customWidth="1"/>
    <col min="5" max="5" width="13.81640625" style="31" customWidth="1"/>
    <col min="6" max="6" width="15.6328125" style="28" bestFit="1" customWidth="1"/>
    <col min="7" max="7" width="16.81640625" style="28" customWidth="1"/>
    <col min="8" max="8" width="18.36328125" style="28" bestFit="1" customWidth="1"/>
    <col min="9" max="9" width="10.1796875" style="28" hidden="1" customWidth="1"/>
    <col min="10" max="10" width="19.36328125" style="28" hidden="1" customWidth="1"/>
    <col min="11" max="11" width="17.36328125" style="28" bestFit="1" customWidth="1"/>
    <col min="12" max="12" width="19.81640625" style="28" bestFit="1" customWidth="1"/>
    <col min="13" max="13" width="19" style="4" customWidth="1"/>
    <col min="14" max="14" width="18.81640625" style="4" customWidth="1"/>
    <col min="15" max="15" width="16" style="4" bestFit="1" customWidth="1"/>
    <col min="16" max="16" width="19.81640625" style="4" customWidth="1"/>
    <col min="17" max="17" width="17.453125" style="4" customWidth="1"/>
    <col min="18" max="18" width="17.1796875" style="4" customWidth="1"/>
    <col min="19" max="19" width="15" style="4" customWidth="1"/>
    <col min="20" max="20" width="22.1796875" style="4" customWidth="1"/>
    <col min="21" max="21" width="8.81640625" style="4"/>
    <col min="22" max="22" width="25" style="4" customWidth="1"/>
    <col min="23" max="23" width="18" style="4" customWidth="1"/>
    <col min="24" max="16384" width="8.81640625" style="4"/>
  </cols>
  <sheetData>
    <row r="1" spans="1:23" s="2" customFormat="1" ht="30.5" customHeight="1" x14ac:dyDescent="0.35">
      <c r="B1" s="231" t="s">
        <v>23</v>
      </c>
      <c r="C1" s="231"/>
      <c r="D1" s="231"/>
      <c r="E1" s="231"/>
      <c r="F1" s="231"/>
      <c r="G1" s="231"/>
      <c r="H1" s="231"/>
      <c r="I1" s="231"/>
      <c r="J1" s="231"/>
      <c r="K1" s="231"/>
      <c r="L1" s="231"/>
    </row>
    <row r="2" spans="1:23" s="2" customFormat="1" ht="25.75" customHeight="1" x14ac:dyDescent="0.35">
      <c r="B2" s="232" t="s">
        <v>106</v>
      </c>
      <c r="C2" s="232"/>
      <c r="D2" s="232"/>
      <c r="E2" s="232"/>
      <c r="F2" s="232"/>
      <c r="G2" s="232"/>
      <c r="H2" s="232"/>
      <c r="I2" s="232"/>
      <c r="J2" s="232"/>
      <c r="K2" s="232"/>
      <c r="L2" s="232"/>
    </row>
    <row r="3" spans="1:23" ht="37.5" customHeight="1" x14ac:dyDescent="0.35">
      <c r="B3" s="233" t="s">
        <v>187</v>
      </c>
      <c r="C3" s="233"/>
      <c r="D3" s="233"/>
      <c r="E3" s="233"/>
      <c r="F3" s="233"/>
      <c r="G3" s="233"/>
      <c r="H3" s="233"/>
      <c r="I3" s="233"/>
      <c r="J3" s="233"/>
      <c r="K3" s="233"/>
      <c r="L3" s="233"/>
    </row>
    <row r="4" spans="1:23" ht="25.75" customHeight="1" thickBot="1" x14ac:dyDescent="0.4">
      <c r="B4" s="232" t="s">
        <v>55</v>
      </c>
      <c r="C4" s="232"/>
      <c r="D4" s="232"/>
      <c r="E4" s="232"/>
      <c r="F4" s="232"/>
      <c r="G4" s="232"/>
      <c r="H4" s="232"/>
      <c r="I4" s="232"/>
      <c r="J4" s="232"/>
      <c r="K4" s="232"/>
      <c r="L4" s="232"/>
    </row>
    <row r="5" spans="1:23" s="5" customFormat="1" ht="53" customHeight="1" thickBot="1" x14ac:dyDescent="0.4">
      <c r="A5" s="47" t="s">
        <v>203</v>
      </c>
      <c r="B5" s="46" t="s">
        <v>204</v>
      </c>
      <c r="C5" s="47" t="s">
        <v>0</v>
      </c>
      <c r="D5" s="48" t="s">
        <v>99</v>
      </c>
      <c r="E5" s="48" t="s">
        <v>109</v>
      </c>
      <c r="F5" s="48" t="s">
        <v>112</v>
      </c>
      <c r="G5" s="48" t="s">
        <v>110</v>
      </c>
      <c r="H5" s="48" t="s">
        <v>111</v>
      </c>
      <c r="I5" s="47" t="s">
        <v>24</v>
      </c>
      <c r="J5" s="48" t="s">
        <v>113</v>
      </c>
      <c r="K5" s="47" t="s">
        <v>21</v>
      </c>
      <c r="L5" s="133" t="s">
        <v>114</v>
      </c>
      <c r="R5" s="147"/>
    </row>
    <row r="6" spans="1:23" s="5" customFormat="1" ht="39" customHeight="1" x14ac:dyDescent="0.35">
      <c r="A6" s="216" t="s">
        <v>77</v>
      </c>
      <c r="B6" s="216"/>
      <c r="C6" s="216"/>
      <c r="D6" s="216"/>
      <c r="E6" s="216"/>
      <c r="F6" s="216"/>
      <c r="G6" s="216"/>
      <c r="H6" s="216"/>
      <c r="I6" s="216"/>
      <c r="J6" s="216"/>
      <c r="K6" s="216"/>
      <c r="L6" s="217"/>
    </row>
    <row r="7" spans="1:23" s="5" customFormat="1" ht="25.25" customHeight="1" x14ac:dyDescent="0.35">
      <c r="A7" s="218" t="s">
        <v>193</v>
      </c>
      <c r="B7" s="218"/>
      <c r="C7" s="218"/>
      <c r="D7" s="218"/>
      <c r="E7" s="218"/>
      <c r="F7" s="218"/>
      <c r="G7" s="218"/>
      <c r="H7" s="218"/>
      <c r="I7" s="218"/>
      <c r="J7" s="218"/>
      <c r="K7" s="218"/>
      <c r="L7" s="219"/>
    </row>
    <row r="8" spans="1:23" s="5" customFormat="1" ht="25.25" customHeight="1" x14ac:dyDescent="0.35">
      <c r="A8" s="65" t="s">
        <v>205</v>
      </c>
      <c r="B8" s="65"/>
      <c r="C8" s="65" t="s">
        <v>287</v>
      </c>
      <c r="D8" s="65"/>
      <c r="E8" s="65"/>
      <c r="F8" s="65"/>
      <c r="G8" s="65"/>
      <c r="H8" s="65"/>
      <c r="I8" s="65"/>
      <c r="J8" s="65"/>
      <c r="K8" s="65"/>
      <c r="L8" s="65"/>
    </row>
    <row r="9" spans="1:23" ht="20" customHeight="1" x14ac:dyDescent="0.35">
      <c r="A9" s="96"/>
      <c r="B9" s="196">
        <v>1</v>
      </c>
      <c r="C9" s="60" t="s">
        <v>220</v>
      </c>
      <c r="D9" s="56" t="s">
        <v>100</v>
      </c>
      <c r="E9" s="190">
        <f>514947.5-1997.5</f>
        <v>512950</v>
      </c>
      <c r="F9" s="190">
        <v>800</v>
      </c>
      <c r="G9" s="190">
        <f t="shared" ref="G9:G11" si="0">ROUND(F9*77.5%,2)</f>
        <v>620</v>
      </c>
      <c r="H9" s="190">
        <f t="shared" ref="H9:H11" si="1">ROUND(E9*G9,2)</f>
        <v>318029000</v>
      </c>
      <c r="I9" s="191">
        <v>1</v>
      </c>
      <c r="J9" s="192">
        <f t="shared" ref="J9:J11" si="2">H9*I9</f>
        <v>318029000</v>
      </c>
      <c r="K9" s="190">
        <f t="shared" ref="K9:K11" si="3">ROUND(H9*18%,2)</f>
        <v>57245220</v>
      </c>
      <c r="L9" s="190">
        <f t="shared" ref="L9:L11" si="4">H9+K9</f>
        <v>375274220</v>
      </c>
      <c r="M9" s="148"/>
      <c r="N9" s="4" t="s">
        <v>198</v>
      </c>
      <c r="O9" s="23" t="e">
        <f>#REF!</f>
        <v>#REF!</v>
      </c>
      <c r="P9" s="23" t="e">
        <f>#REF!</f>
        <v>#REF!</v>
      </c>
      <c r="Q9" s="23" t="e">
        <f>#REF!</f>
        <v>#REF!</v>
      </c>
      <c r="R9" s="23" t="e">
        <f>#REF!</f>
        <v>#REF!</v>
      </c>
      <c r="S9" s="148" t="e">
        <f>O9+Q9</f>
        <v>#REF!</v>
      </c>
      <c r="T9" s="148" t="e">
        <f>P9+R9</f>
        <v>#REF!</v>
      </c>
      <c r="V9" s="4">
        <v>542800000</v>
      </c>
      <c r="W9" s="148">
        <f>V9*0.775</f>
        <v>420670000</v>
      </c>
    </row>
    <row r="10" spans="1:23" s="2" customFormat="1" ht="20" customHeight="1" x14ac:dyDescent="0.35">
      <c r="A10" s="19"/>
      <c r="B10" s="196">
        <v>2</v>
      </c>
      <c r="C10" s="60" t="s">
        <v>104</v>
      </c>
      <c r="D10" s="56" t="s">
        <v>102</v>
      </c>
      <c r="E10" s="190">
        <v>5250</v>
      </c>
      <c r="F10" s="190">
        <v>4000</v>
      </c>
      <c r="G10" s="190">
        <f t="shared" si="0"/>
        <v>3100</v>
      </c>
      <c r="H10" s="190">
        <f t="shared" si="1"/>
        <v>16275000</v>
      </c>
      <c r="I10" s="191">
        <v>1</v>
      </c>
      <c r="J10" s="192">
        <f t="shared" si="2"/>
        <v>16275000</v>
      </c>
      <c r="K10" s="190">
        <f t="shared" si="3"/>
        <v>2929500</v>
      </c>
      <c r="L10" s="190">
        <f t="shared" si="4"/>
        <v>19204500</v>
      </c>
      <c r="M10" s="148"/>
      <c r="N10" s="20"/>
    </row>
    <row r="11" spans="1:23" s="2" customFormat="1" ht="20" customHeight="1" x14ac:dyDescent="0.35">
      <c r="A11" s="19"/>
      <c r="B11" s="196">
        <v>3</v>
      </c>
      <c r="C11" s="60" t="s">
        <v>107</v>
      </c>
      <c r="D11" s="56" t="s">
        <v>100</v>
      </c>
      <c r="E11" s="190">
        <v>140000</v>
      </c>
      <c r="F11" s="190">
        <v>100</v>
      </c>
      <c r="G11" s="190">
        <f t="shared" si="0"/>
        <v>77.5</v>
      </c>
      <c r="H11" s="190">
        <f t="shared" si="1"/>
        <v>10850000</v>
      </c>
      <c r="I11" s="191">
        <v>1</v>
      </c>
      <c r="J11" s="192">
        <f t="shared" si="2"/>
        <v>10850000</v>
      </c>
      <c r="K11" s="190">
        <f t="shared" si="3"/>
        <v>1953000</v>
      </c>
      <c r="L11" s="190">
        <f t="shared" si="4"/>
        <v>12803000</v>
      </c>
      <c r="M11" s="148"/>
    </row>
    <row r="12" spans="1:23" s="2" customFormat="1" ht="20" customHeight="1" x14ac:dyDescent="0.35">
      <c r="A12" s="19"/>
      <c r="B12" s="196">
        <v>4</v>
      </c>
      <c r="C12" s="60" t="s">
        <v>221</v>
      </c>
      <c r="D12" s="56" t="s">
        <v>100</v>
      </c>
      <c r="E12" s="190">
        <v>3330</v>
      </c>
      <c r="F12" s="190">
        <v>15000</v>
      </c>
      <c r="G12" s="190">
        <f>ROUND(F12*77.5%,2)</f>
        <v>11625</v>
      </c>
      <c r="H12" s="190">
        <f>ROUND(E12*G12,2)</f>
        <v>38711250</v>
      </c>
      <c r="I12" s="191">
        <v>1</v>
      </c>
      <c r="J12" s="192">
        <f t="shared" ref="J12" si="5">H12*I12</f>
        <v>38711250</v>
      </c>
      <c r="K12" s="190">
        <f>ROUND(H12*18%,2)</f>
        <v>6968025</v>
      </c>
      <c r="L12" s="190">
        <f t="shared" ref="L12" si="6">H12+K12</f>
        <v>45679275</v>
      </c>
      <c r="O12" s="149"/>
    </row>
    <row r="13" spans="1:23" s="2" customFormat="1" ht="20" customHeight="1" x14ac:dyDescent="0.35">
      <c r="A13" s="19"/>
      <c r="B13" s="196">
        <v>5</v>
      </c>
      <c r="C13" s="60" t="s">
        <v>234</v>
      </c>
      <c r="D13" s="56" t="s">
        <v>100</v>
      </c>
      <c r="E13" s="190">
        <v>23960</v>
      </c>
      <c r="F13" s="192">
        <v>27500</v>
      </c>
      <c r="G13" s="190">
        <f t="shared" ref="G13" si="7">F13*77.5%</f>
        <v>21312.5</v>
      </c>
      <c r="H13" s="190">
        <f t="shared" ref="H13" si="8">E13*G13</f>
        <v>510647500</v>
      </c>
      <c r="I13" s="175">
        <v>1</v>
      </c>
      <c r="J13" s="190">
        <f t="shared" ref="J13" si="9">H13*I13</f>
        <v>510647500</v>
      </c>
      <c r="K13" s="190">
        <f t="shared" ref="K13" si="10">H13*18%</f>
        <v>91916550</v>
      </c>
      <c r="L13" s="190">
        <f t="shared" ref="L13" si="11">H13+K13</f>
        <v>602564050</v>
      </c>
    </row>
    <row r="14" spans="1:23" s="2" customFormat="1" ht="20" customHeight="1" x14ac:dyDescent="0.35">
      <c r="A14" s="19"/>
      <c r="B14" s="196"/>
      <c r="C14" s="209" t="s">
        <v>201</v>
      </c>
      <c r="D14" s="80"/>
      <c r="E14" s="195"/>
      <c r="F14" s="210"/>
      <c r="G14" s="195"/>
      <c r="H14" s="195">
        <f>SUM(H9:H13)</f>
        <v>894512750</v>
      </c>
      <c r="I14" s="211"/>
      <c r="J14" s="195"/>
      <c r="K14" s="195">
        <f>SUM(K9:K13)</f>
        <v>161012295</v>
      </c>
      <c r="L14" s="195">
        <f>SUM(L9:L13)</f>
        <v>1055525045</v>
      </c>
    </row>
    <row r="15" spans="1:23" s="2" customFormat="1" ht="20" customHeight="1" x14ac:dyDescent="0.35">
      <c r="A15" s="19"/>
      <c r="B15" s="196"/>
      <c r="C15" s="209"/>
      <c r="D15" s="80"/>
      <c r="E15" s="195"/>
      <c r="F15" s="210"/>
      <c r="G15" s="195"/>
      <c r="H15" s="195"/>
      <c r="I15" s="211"/>
      <c r="J15" s="195"/>
      <c r="K15" s="195"/>
      <c r="L15" s="195"/>
    </row>
    <row r="16" spans="1:23" s="2" customFormat="1" ht="42" customHeight="1" x14ac:dyDescent="0.35">
      <c r="A16" s="19" t="s">
        <v>295</v>
      </c>
      <c r="B16" s="196">
        <v>1</v>
      </c>
      <c r="C16" s="62" t="s">
        <v>249</v>
      </c>
      <c r="D16" s="56" t="s">
        <v>101</v>
      </c>
      <c r="E16" s="190">
        <v>2886</v>
      </c>
      <c r="F16" s="190">
        <v>90000</v>
      </c>
      <c r="G16" s="190">
        <f t="shared" ref="G16:G17" si="12">F16*77.5%</f>
        <v>69750</v>
      </c>
      <c r="H16" s="190">
        <f>E16*G16</f>
        <v>201298500</v>
      </c>
      <c r="I16" s="175">
        <v>1</v>
      </c>
      <c r="J16" s="190">
        <f t="shared" ref="J16:J17" si="13">H16*I16</f>
        <v>201298500</v>
      </c>
      <c r="K16" s="190">
        <f t="shared" ref="K16:K17" si="14">H16*18%</f>
        <v>36233730</v>
      </c>
      <c r="L16" s="190">
        <f t="shared" ref="L16:L17" si="15">H16+K16</f>
        <v>237532230</v>
      </c>
      <c r="O16" s="2">
        <f>E11*F11</f>
        <v>14000000</v>
      </c>
    </row>
    <row r="17" spans="1:16" s="2" customFormat="1" ht="38" customHeight="1" x14ac:dyDescent="0.35">
      <c r="A17" s="19"/>
      <c r="B17" s="196">
        <v>2</v>
      </c>
      <c r="C17" s="62" t="s">
        <v>250</v>
      </c>
      <c r="D17" s="56" t="s">
        <v>101</v>
      </c>
      <c r="E17" s="190">
        <v>2886</v>
      </c>
      <c r="F17" s="190">
        <v>30000</v>
      </c>
      <c r="G17" s="190">
        <f t="shared" si="12"/>
        <v>23250</v>
      </c>
      <c r="H17" s="190">
        <f>E17*G17</f>
        <v>67099500</v>
      </c>
      <c r="I17" s="175">
        <v>1</v>
      </c>
      <c r="J17" s="190">
        <f t="shared" si="13"/>
        <v>67099500</v>
      </c>
      <c r="K17" s="190">
        <f t="shared" si="14"/>
        <v>12077910</v>
      </c>
      <c r="L17" s="190">
        <f t="shared" si="15"/>
        <v>79177410</v>
      </c>
      <c r="N17" s="20"/>
      <c r="O17" s="2">
        <f>SUM(O16:O16)</f>
        <v>14000000</v>
      </c>
      <c r="P17" s="2">
        <v>445360000</v>
      </c>
    </row>
    <row r="18" spans="1:16" s="2" customFormat="1" ht="20" customHeight="1" x14ac:dyDescent="0.35">
      <c r="A18" s="19"/>
      <c r="B18" s="196">
        <v>3</v>
      </c>
      <c r="C18" s="60" t="s">
        <v>237</v>
      </c>
      <c r="D18" s="56" t="s">
        <v>210</v>
      </c>
      <c r="E18" s="190">
        <v>800</v>
      </c>
      <c r="F18" s="190">
        <v>12500</v>
      </c>
      <c r="G18" s="190">
        <f t="shared" ref="G18" si="16">F18*77.5%</f>
        <v>9687.5</v>
      </c>
      <c r="H18" s="190">
        <f>E18*G18</f>
        <v>7750000</v>
      </c>
      <c r="I18" s="175">
        <v>1</v>
      </c>
      <c r="J18" s="190">
        <f>H18*I18</f>
        <v>7750000</v>
      </c>
      <c r="K18" s="190">
        <f t="shared" ref="K18" si="17">H18*18%</f>
        <v>1395000</v>
      </c>
      <c r="L18" s="190">
        <f>H18+K18</f>
        <v>9145000</v>
      </c>
    </row>
    <row r="19" spans="1:16" s="2" customFormat="1" ht="36" customHeight="1" x14ac:dyDescent="0.35">
      <c r="A19" s="19"/>
      <c r="B19" s="196">
        <v>4</v>
      </c>
      <c r="C19" s="62" t="s">
        <v>238</v>
      </c>
      <c r="D19" s="56" t="s">
        <v>211</v>
      </c>
      <c r="E19" s="190">
        <v>510</v>
      </c>
      <c r="F19" s="190">
        <v>9000</v>
      </c>
      <c r="G19" s="190">
        <f t="shared" ref="G19" si="18">F19*77.5%</f>
        <v>6975</v>
      </c>
      <c r="H19" s="190">
        <f t="shared" ref="H19" si="19">E19*G19</f>
        <v>3557250</v>
      </c>
      <c r="I19" s="175">
        <v>1</v>
      </c>
      <c r="J19" s="190">
        <f t="shared" ref="J19" si="20">H19*I19</f>
        <v>3557250</v>
      </c>
      <c r="K19" s="190">
        <f t="shared" ref="K19" si="21">H19*18%</f>
        <v>640305</v>
      </c>
      <c r="L19" s="190">
        <f>H19+K19</f>
        <v>4197555</v>
      </c>
    </row>
    <row r="20" spans="1:16" s="2" customFormat="1" ht="20" customHeight="1" x14ac:dyDescent="0.35">
      <c r="A20" s="19"/>
      <c r="B20" s="196">
        <v>5</v>
      </c>
      <c r="C20" s="62" t="s">
        <v>239</v>
      </c>
      <c r="D20" s="56" t="s">
        <v>102</v>
      </c>
      <c r="E20" s="193">
        <v>9257.5</v>
      </c>
      <c r="F20" s="190">
        <v>2000</v>
      </c>
      <c r="G20" s="190">
        <f t="shared" ref="G20" si="22">F20*77.5%</f>
        <v>1550</v>
      </c>
      <c r="H20" s="190">
        <f t="shared" ref="H20" si="23">E20*G20</f>
        <v>14349125</v>
      </c>
      <c r="I20" s="175">
        <v>1</v>
      </c>
      <c r="J20" s="190">
        <f t="shared" ref="J20" si="24">H20*I20</f>
        <v>14349125</v>
      </c>
      <c r="K20" s="190">
        <f t="shared" ref="K20" si="25">H20*18%</f>
        <v>2582842.5</v>
      </c>
      <c r="L20" s="190">
        <f t="shared" ref="L20" si="26">H20+K20</f>
        <v>16931967.5</v>
      </c>
    </row>
    <row r="21" spans="1:16" s="2" customFormat="1" ht="20" customHeight="1" x14ac:dyDescent="0.35">
      <c r="A21" s="19"/>
      <c r="B21" s="196">
        <v>6</v>
      </c>
      <c r="C21" s="62" t="s">
        <v>240</v>
      </c>
      <c r="D21" s="56" t="s">
        <v>102</v>
      </c>
      <c r="E21" s="190">
        <v>13400</v>
      </c>
      <c r="F21" s="190">
        <v>800</v>
      </c>
      <c r="G21" s="190">
        <f t="shared" ref="G21" si="27">F21*77.5%</f>
        <v>620</v>
      </c>
      <c r="H21" s="190">
        <f t="shared" ref="H21" si="28">E21*G21</f>
        <v>8308000</v>
      </c>
      <c r="I21" s="175">
        <v>1</v>
      </c>
      <c r="J21" s="190">
        <f t="shared" ref="J21" si="29">H21*I21</f>
        <v>8308000</v>
      </c>
      <c r="K21" s="190">
        <f t="shared" ref="K21" si="30">H21*18%</f>
        <v>1495440</v>
      </c>
      <c r="L21" s="190">
        <f t="shared" ref="L21" si="31">H21+K21</f>
        <v>9803440</v>
      </c>
    </row>
    <row r="22" spans="1:16" s="2" customFormat="1" ht="55" customHeight="1" x14ac:dyDescent="0.35">
      <c r="A22" s="19"/>
      <c r="B22" s="196">
        <v>7</v>
      </c>
      <c r="C22" s="62" t="s">
        <v>252</v>
      </c>
      <c r="D22" s="56" t="s">
        <v>98</v>
      </c>
      <c r="E22" s="190">
        <v>1</v>
      </c>
      <c r="F22" s="193">
        <v>900000</v>
      </c>
      <c r="G22" s="193">
        <f>F22*77.5%</f>
        <v>697500</v>
      </c>
      <c r="H22" s="190">
        <f t="shared" ref="H22:H25" si="32">E22*G22</f>
        <v>697500</v>
      </c>
      <c r="I22" s="194">
        <v>1</v>
      </c>
      <c r="J22" s="193">
        <f>H22*I22</f>
        <v>697500</v>
      </c>
      <c r="K22" s="190">
        <f t="shared" ref="K22:K27" si="33">H22*18%</f>
        <v>125550</v>
      </c>
      <c r="L22" s="190">
        <f t="shared" ref="L22:L27" si="34">H22+K22</f>
        <v>823050</v>
      </c>
    </row>
    <row r="23" spans="1:16" s="2" customFormat="1" ht="60" customHeight="1" x14ac:dyDescent="0.35">
      <c r="A23" s="19"/>
      <c r="B23" s="196">
        <v>8</v>
      </c>
      <c r="C23" s="62" t="s">
        <v>251</v>
      </c>
      <c r="D23" s="56" t="s">
        <v>98</v>
      </c>
      <c r="E23" s="190">
        <v>1</v>
      </c>
      <c r="F23" s="193">
        <v>900000</v>
      </c>
      <c r="G23" s="193">
        <f t="shared" ref="G23:G25" si="35">F23*77.5%</f>
        <v>697500</v>
      </c>
      <c r="H23" s="190">
        <f t="shared" si="32"/>
        <v>697500</v>
      </c>
      <c r="I23" s="194">
        <v>1</v>
      </c>
      <c r="J23" s="193">
        <f t="shared" ref="J23:J25" si="36">H23*I23</f>
        <v>697500</v>
      </c>
      <c r="K23" s="190">
        <f t="shared" si="33"/>
        <v>125550</v>
      </c>
      <c r="L23" s="190">
        <f t="shared" si="34"/>
        <v>823050</v>
      </c>
    </row>
    <row r="24" spans="1:16" s="2" customFormat="1" ht="50" customHeight="1" x14ac:dyDescent="0.35">
      <c r="A24" s="19"/>
      <c r="B24" s="196">
        <v>9</v>
      </c>
      <c r="C24" s="62" t="s">
        <v>253</v>
      </c>
      <c r="D24" s="56" t="s">
        <v>98</v>
      </c>
      <c r="E24" s="190">
        <v>1</v>
      </c>
      <c r="F24" s="193">
        <v>900000</v>
      </c>
      <c r="G24" s="193">
        <f t="shared" si="35"/>
        <v>697500</v>
      </c>
      <c r="H24" s="190">
        <f t="shared" si="32"/>
        <v>697500</v>
      </c>
      <c r="I24" s="194">
        <v>1</v>
      </c>
      <c r="J24" s="193">
        <f t="shared" si="36"/>
        <v>697500</v>
      </c>
      <c r="K24" s="190">
        <f t="shared" si="33"/>
        <v>125550</v>
      </c>
      <c r="L24" s="190">
        <f t="shared" si="34"/>
        <v>823050</v>
      </c>
    </row>
    <row r="25" spans="1:16" s="2" customFormat="1" ht="51" customHeight="1" x14ac:dyDescent="0.35">
      <c r="A25" s="19"/>
      <c r="B25" s="196">
        <v>10</v>
      </c>
      <c r="C25" s="62" t="s">
        <v>254</v>
      </c>
      <c r="D25" s="56" t="s">
        <v>98</v>
      </c>
      <c r="E25" s="190">
        <v>1</v>
      </c>
      <c r="F25" s="193">
        <v>900000</v>
      </c>
      <c r="G25" s="193">
        <f t="shared" si="35"/>
        <v>697500</v>
      </c>
      <c r="H25" s="190">
        <f t="shared" si="32"/>
        <v>697500</v>
      </c>
      <c r="I25" s="194">
        <v>1</v>
      </c>
      <c r="J25" s="193">
        <f t="shared" si="36"/>
        <v>697500</v>
      </c>
      <c r="K25" s="190">
        <f t="shared" si="33"/>
        <v>125550</v>
      </c>
      <c r="L25" s="190">
        <f t="shared" si="34"/>
        <v>823050</v>
      </c>
    </row>
    <row r="26" spans="1:16" ht="50" customHeight="1" x14ac:dyDescent="0.35">
      <c r="A26" s="96"/>
      <c r="B26" s="196">
        <v>11</v>
      </c>
      <c r="C26" s="62" t="s">
        <v>255</v>
      </c>
      <c r="D26" s="56" t="s">
        <v>98</v>
      </c>
      <c r="E26" s="190">
        <v>1</v>
      </c>
      <c r="F26" s="193">
        <v>500000</v>
      </c>
      <c r="G26" s="193">
        <f>F26*77.5%</f>
        <v>387500</v>
      </c>
      <c r="H26" s="190">
        <f>E26*G26</f>
        <v>387500</v>
      </c>
      <c r="I26" s="194">
        <v>1</v>
      </c>
      <c r="J26" s="193">
        <f>H26*I26</f>
        <v>387500</v>
      </c>
      <c r="K26" s="190">
        <f t="shared" si="33"/>
        <v>69750</v>
      </c>
      <c r="L26" s="190">
        <f t="shared" si="34"/>
        <v>457250</v>
      </c>
      <c r="M26" s="24"/>
      <c r="N26" s="23"/>
      <c r="O26" s="23"/>
      <c r="P26" s="32"/>
    </row>
    <row r="27" spans="1:16" ht="46" customHeight="1" x14ac:dyDescent="0.35">
      <c r="A27" s="96"/>
      <c r="B27" s="196">
        <v>12</v>
      </c>
      <c r="C27" s="62" t="s">
        <v>256</v>
      </c>
      <c r="D27" s="56" t="s">
        <v>98</v>
      </c>
      <c r="E27" s="190">
        <v>1</v>
      </c>
      <c r="F27" s="193">
        <v>300000</v>
      </c>
      <c r="G27" s="193">
        <f>F27*77.5%</f>
        <v>232500</v>
      </c>
      <c r="H27" s="190">
        <f>E27*G27</f>
        <v>232500</v>
      </c>
      <c r="I27" s="194">
        <v>1</v>
      </c>
      <c r="J27" s="193">
        <f>H27*I27</f>
        <v>232500</v>
      </c>
      <c r="K27" s="190">
        <f t="shared" si="33"/>
        <v>41850</v>
      </c>
      <c r="L27" s="190">
        <f t="shared" si="34"/>
        <v>274350</v>
      </c>
      <c r="M27" s="24"/>
      <c r="N27" s="23"/>
      <c r="O27" s="23"/>
      <c r="P27" s="32"/>
    </row>
    <row r="28" spans="1:16" s="2" customFormat="1" ht="20" customHeight="1" x14ac:dyDescent="0.35">
      <c r="A28" s="19"/>
      <c r="B28" s="55"/>
      <c r="C28" s="65" t="s">
        <v>294</v>
      </c>
      <c r="D28" s="80"/>
      <c r="E28" s="195"/>
      <c r="F28" s="195"/>
      <c r="G28" s="195"/>
      <c r="H28" s="195">
        <f>SUM(H16:H27)</f>
        <v>305772375</v>
      </c>
      <c r="I28" s="195">
        <f>SUM(I16:I27)</f>
        <v>12</v>
      </c>
      <c r="J28" s="195">
        <f>SUM(J16:J27)</f>
        <v>305772375</v>
      </c>
      <c r="K28" s="195">
        <f>SUM(K16:K27)</f>
        <v>55039027.5</v>
      </c>
      <c r="L28" s="195">
        <f>SUM(L16:L27)</f>
        <v>360811402.5</v>
      </c>
      <c r="N28" s="149"/>
    </row>
    <row r="29" spans="1:16" s="2" customFormat="1" ht="20" customHeight="1" x14ac:dyDescent="0.35">
      <c r="A29" s="19"/>
      <c r="B29" s="55"/>
      <c r="C29" s="55" t="s">
        <v>142</v>
      </c>
      <c r="D29" s="56"/>
      <c r="E29" s="190"/>
      <c r="F29" s="190"/>
      <c r="G29" s="190"/>
      <c r="H29" s="195">
        <f>H14+H28</f>
        <v>1200285125</v>
      </c>
      <c r="I29" s="195">
        <f>I14+I28</f>
        <v>12</v>
      </c>
      <c r="J29" s="195">
        <f>J14+J28</f>
        <v>305772375</v>
      </c>
      <c r="K29" s="195">
        <f>K14+K28</f>
        <v>216051322.5</v>
      </c>
      <c r="L29" s="195">
        <f>L14+L28</f>
        <v>1416336447.5</v>
      </c>
    </row>
    <row r="30" spans="1:16" s="2" customFormat="1" ht="20" customHeight="1" x14ac:dyDescent="0.35">
      <c r="A30" s="19"/>
      <c r="B30" s="55"/>
      <c r="C30" s="62"/>
      <c r="D30" s="56"/>
      <c r="E30" s="190"/>
      <c r="F30" s="190"/>
      <c r="G30" s="190"/>
      <c r="H30" s="195"/>
      <c r="I30" s="195"/>
      <c r="J30" s="195"/>
      <c r="K30" s="195"/>
      <c r="L30" s="195"/>
    </row>
    <row r="31" spans="1:16" s="2" customFormat="1" x14ac:dyDescent="0.35">
      <c r="A31" s="19"/>
      <c r="B31" s="55"/>
      <c r="C31" s="62"/>
      <c r="D31" s="56"/>
      <c r="E31" s="57"/>
      <c r="F31" s="57"/>
      <c r="G31" s="57"/>
      <c r="H31" s="57"/>
      <c r="I31" s="176"/>
      <c r="J31" s="57"/>
      <c r="K31" s="57"/>
      <c r="L31" s="83"/>
    </row>
    <row r="32" spans="1:16" s="2" customFormat="1" ht="24" customHeight="1" x14ac:dyDescent="0.35">
      <c r="A32" s="220" t="s">
        <v>120</v>
      </c>
      <c r="B32" s="220"/>
      <c r="C32" s="220"/>
      <c r="D32" s="220"/>
      <c r="E32" s="220"/>
      <c r="F32" s="220"/>
      <c r="G32" s="220"/>
      <c r="H32" s="220"/>
      <c r="I32" s="220"/>
      <c r="J32" s="220"/>
      <c r="K32" s="220"/>
      <c r="L32" s="221"/>
      <c r="O32" s="21"/>
      <c r="P32" s="149"/>
    </row>
    <row r="33" spans="1:16" s="8" customFormat="1" ht="22" customHeight="1" x14ac:dyDescent="0.4">
      <c r="A33" s="65" t="s">
        <v>209</v>
      </c>
      <c r="B33" s="65"/>
      <c r="C33" s="65" t="s">
        <v>288</v>
      </c>
      <c r="D33" s="198"/>
      <c r="E33" s="199"/>
      <c r="F33" s="198"/>
      <c r="G33" s="198"/>
      <c r="H33" s="198"/>
      <c r="I33" s="198"/>
      <c r="J33" s="198"/>
      <c r="K33" s="198"/>
      <c r="L33" s="198"/>
    </row>
    <row r="34" spans="1:16" ht="20" customHeight="1" x14ac:dyDescent="0.35">
      <c r="A34" s="96"/>
      <c r="B34" s="196">
        <v>1</v>
      </c>
      <c r="C34" s="60" t="s">
        <v>212</v>
      </c>
      <c r="D34" s="56" t="s">
        <v>100</v>
      </c>
      <c r="E34" s="190">
        <v>18300</v>
      </c>
      <c r="F34" s="190">
        <v>800</v>
      </c>
      <c r="G34" s="190">
        <f>F34*0.775</f>
        <v>620</v>
      </c>
      <c r="H34" s="190">
        <f>ROUND(E34*G34,2)</f>
        <v>11346000</v>
      </c>
      <c r="I34" s="175">
        <v>1</v>
      </c>
      <c r="J34" s="190">
        <f>H34*I34</f>
        <v>11346000</v>
      </c>
      <c r="K34" s="190">
        <f>ROUND(H34*18%,2)</f>
        <v>2042280</v>
      </c>
      <c r="L34" s="190">
        <f t="shared" ref="L34" si="37">H34+K34</f>
        <v>13388280</v>
      </c>
      <c r="M34" s="143"/>
    </row>
    <row r="35" spans="1:16" s="2" customFormat="1" ht="20" customHeight="1" x14ac:dyDescent="0.35">
      <c r="A35" s="19"/>
      <c r="B35" s="196">
        <v>2</v>
      </c>
      <c r="C35" s="60" t="s">
        <v>213</v>
      </c>
      <c r="D35" s="56" t="s">
        <v>100</v>
      </c>
      <c r="E35" s="190">
        <v>170</v>
      </c>
      <c r="F35" s="190">
        <v>15000</v>
      </c>
      <c r="G35" s="190">
        <f t="shared" ref="G35:G56" si="38">F35*0.775</f>
        <v>11625</v>
      </c>
      <c r="H35" s="190">
        <f>ROUND(E35*G35,2)</f>
        <v>1976250</v>
      </c>
      <c r="I35" s="175">
        <v>1</v>
      </c>
      <c r="J35" s="190">
        <f>H35*I35</f>
        <v>1976250</v>
      </c>
      <c r="K35" s="190">
        <f>ROUND(H35*18%,2)</f>
        <v>355725</v>
      </c>
      <c r="L35" s="190">
        <f>H35+K35</f>
        <v>2331975</v>
      </c>
      <c r="M35" s="149"/>
      <c r="P35" s="21"/>
    </row>
    <row r="36" spans="1:16" s="2" customFormat="1" ht="20" customHeight="1" x14ac:dyDescent="0.35">
      <c r="A36" s="19"/>
      <c r="B36" s="196">
        <v>3</v>
      </c>
      <c r="C36" s="60" t="s">
        <v>214</v>
      </c>
      <c r="D36" s="56" t="s">
        <v>100</v>
      </c>
      <c r="E36" s="190">
        <v>1040</v>
      </c>
      <c r="F36" s="190">
        <v>27500</v>
      </c>
      <c r="G36" s="190">
        <f t="shared" si="38"/>
        <v>21312.5</v>
      </c>
      <c r="H36" s="190">
        <f>E36*G36</f>
        <v>22165000</v>
      </c>
      <c r="I36" s="175">
        <v>1</v>
      </c>
      <c r="J36" s="190">
        <f>H36*I36</f>
        <v>22165000</v>
      </c>
      <c r="K36" s="190">
        <f t="shared" ref="K36" si="39">H36*18%</f>
        <v>3989700</v>
      </c>
      <c r="L36" s="190">
        <f>H36+K36</f>
        <v>26154700</v>
      </c>
    </row>
    <row r="37" spans="1:16" s="2" customFormat="1" ht="41" customHeight="1" x14ac:dyDescent="0.35">
      <c r="A37" s="19"/>
      <c r="B37" s="196">
        <v>4</v>
      </c>
      <c r="C37" s="62" t="s">
        <v>257</v>
      </c>
      <c r="D37" s="56" t="s">
        <v>101</v>
      </c>
      <c r="E37" s="190">
        <v>114</v>
      </c>
      <c r="F37" s="190">
        <v>90000</v>
      </c>
      <c r="G37" s="190">
        <f t="shared" si="38"/>
        <v>69750</v>
      </c>
      <c r="H37" s="190">
        <f>G37*E37</f>
        <v>7951500</v>
      </c>
      <c r="I37" s="175">
        <v>1</v>
      </c>
      <c r="J37" s="190">
        <f t="shared" ref="J37:J38" si="40">H37*I37</f>
        <v>7951500</v>
      </c>
      <c r="K37" s="190">
        <f t="shared" ref="K37:K38" si="41">H37*18%</f>
        <v>1431270</v>
      </c>
      <c r="L37" s="190">
        <f t="shared" ref="L37:L38" si="42">H37+K37</f>
        <v>9382770</v>
      </c>
      <c r="N37" s="21"/>
      <c r="O37" s="140"/>
    </row>
    <row r="38" spans="1:16" s="2" customFormat="1" ht="38" customHeight="1" x14ac:dyDescent="0.35">
      <c r="A38" s="19"/>
      <c r="B38" s="196">
        <v>5</v>
      </c>
      <c r="C38" s="62" t="s">
        <v>258</v>
      </c>
      <c r="D38" s="56" t="s">
        <v>101</v>
      </c>
      <c r="E38" s="190">
        <v>114</v>
      </c>
      <c r="F38" s="190">
        <v>30000</v>
      </c>
      <c r="G38" s="190">
        <f t="shared" si="38"/>
        <v>23250</v>
      </c>
      <c r="H38" s="190">
        <f t="shared" ref="H38" si="43">G38*E38</f>
        <v>2650500</v>
      </c>
      <c r="I38" s="175">
        <v>1</v>
      </c>
      <c r="J38" s="190">
        <f t="shared" si="40"/>
        <v>2650500</v>
      </c>
      <c r="K38" s="190">
        <f t="shared" si="41"/>
        <v>477090</v>
      </c>
      <c r="L38" s="190">
        <f t="shared" si="42"/>
        <v>3127590</v>
      </c>
      <c r="N38" s="20"/>
      <c r="O38" s="140"/>
    </row>
    <row r="39" spans="1:16" s="2" customFormat="1" ht="20" customHeight="1" x14ac:dyDescent="0.35">
      <c r="A39" s="19"/>
      <c r="B39" s="196">
        <v>6</v>
      </c>
      <c r="C39" s="60" t="s">
        <v>217</v>
      </c>
      <c r="D39" s="56" t="s">
        <v>100</v>
      </c>
      <c r="E39" s="190">
        <v>400</v>
      </c>
      <c r="F39" s="190">
        <v>12500</v>
      </c>
      <c r="G39" s="190">
        <f t="shared" si="38"/>
        <v>9687.5</v>
      </c>
      <c r="H39" s="190">
        <f t="shared" ref="H39" si="44">E39*G39</f>
        <v>3875000</v>
      </c>
      <c r="I39" s="175">
        <v>1</v>
      </c>
      <c r="J39" s="190">
        <f t="shared" ref="J39" si="45">H39*I39</f>
        <v>3875000</v>
      </c>
      <c r="K39" s="190">
        <f t="shared" ref="K39" si="46">H39*18%</f>
        <v>697500</v>
      </c>
      <c r="L39" s="190">
        <f t="shared" ref="L39:L45" si="47">H39+K39</f>
        <v>4572500</v>
      </c>
    </row>
    <row r="40" spans="1:16" s="2" customFormat="1" ht="20" customHeight="1" x14ac:dyDescent="0.35">
      <c r="A40" s="19"/>
      <c r="B40" s="196">
        <v>7</v>
      </c>
      <c r="C40" s="197" t="s">
        <v>218</v>
      </c>
      <c r="D40" s="56" t="s">
        <v>102</v>
      </c>
      <c r="E40" s="190">
        <v>190</v>
      </c>
      <c r="F40" s="190">
        <v>9000</v>
      </c>
      <c r="G40" s="190">
        <f t="shared" si="38"/>
        <v>6975</v>
      </c>
      <c r="H40" s="190">
        <f t="shared" ref="H40" si="48">E40*G40</f>
        <v>1325250</v>
      </c>
      <c r="I40" s="175">
        <v>1</v>
      </c>
      <c r="J40" s="190">
        <f t="shared" ref="J40" si="49">H40*I40</f>
        <v>1325250</v>
      </c>
      <c r="K40" s="190">
        <f t="shared" ref="K40" si="50">H40*18%</f>
        <v>238545</v>
      </c>
      <c r="L40" s="190">
        <f t="shared" si="47"/>
        <v>1563795</v>
      </c>
    </row>
    <row r="41" spans="1:16" s="21" customFormat="1" ht="20" customHeight="1" x14ac:dyDescent="0.35">
      <c r="A41" s="13"/>
      <c r="B41" s="196">
        <v>8</v>
      </c>
      <c r="C41" s="197" t="s">
        <v>219</v>
      </c>
      <c r="D41" s="56" t="s">
        <v>102</v>
      </c>
      <c r="E41" s="193">
        <v>742.5</v>
      </c>
      <c r="F41" s="190">
        <v>2000</v>
      </c>
      <c r="G41" s="190">
        <f t="shared" si="38"/>
        <v>1550</v>
      </c>
      <c r="H41" s="190">
        <f t="shared" ref="H41" si="51">E41*G41</f>
        <v>1150875</v>
      </c>
      <c r="I41" s="175">
        <v>1</v>
      </c>
      <c r="J41" s="190">
        <f t="shared" ref="J41" si="52">H41*I41</f>
        <v>1150875</v>
      </c>
      <c r="K41" s="190">
        <f t="shared" ref="K41" si="53">H41*18%</f>
        <v>207157.5</v>
      </c>
      <c r="L41" s="190">
        <f t="shared" si="47"/>
        <v>1358032.5</v>
      </c>
      <c r="M41" s="2"/>
      <c r="N41" s="2"/>
      <c r="O41" s="2"/>
    </row>
    <row r="42" spans="1:16" ht="20" customHeight="1" x14ac:dyDescent="0.35">
      <c r="A42" s="96"/>
      <c r="B42" s="196">
        <v>9</v>
      </c>
      <c r="C42" s="197" t="s">
        <v>242</v>
      </c>
      <c r="D42" s="56" t="s">
        <v>102</v>
      </c>
      <c r="E42" s="190">
        <v>7850</v>
      </c>
      <c r="F42" s="190">
        <v>800</v>
      </c>
      <c r="G42" s="190">
        <f t="shared" si="38"/>
        <v>620</v>
      </c>
      <c r="H42" s="190">
        <f t="shared" ref="H42" si="54">E42*G42</f>
        <v>4867000</v>
      </c>
      <c r="I42" s="175">
        <v>1</v>
      </c>
      <c r="J42" s="190">
        <f t="shared" ref="J42" si="55">H42*I42</f>
        <v>4867000</v>
      </c>
      <c r="K42" s="190">
        <f t="shared" ref="K42" si="56">H42*18%</f>
        <v>876060</v>
      </c>
      <c r="L42" s="190">
        <f t="shared" si="47"/>
        <v>5743060</v>
      </c>
    </row>
    <row r="43" spans="1:16" s="8" customFormat="1" ht="46.5" x14ac:dyDescent="0.4">
      <c r="A43" s="7"/>
      <c r="B43" s="196">
        <v>10</v>
      </c>
      <c r="C43" s="62" t="s">
        <v>259</v>
      </c>
      <c r="D43" s="56" t="s">
        <v>98</v>
      </c>
      <c r="E43" s="190">
        <v>1</v>
      </c>
      <c r="F43" s="193">
        <v>1200000</v>
      </c>
      <c r="G43" s="190">
        <f t="shared" si="38"/>
        <v>930000</v>
      </c>
      <c r="H43" s="193">
        <f>G43*E43</f>
        <v>930000</v>
      </c>
      <c r="I43" s="194">
        <v>1</v>
      </c>
      <c r="J43" s="193">
        <f t="shared" ref="J43:J45" si="57">H43*I43</f>
        <v>930000</v>
      </c>
      <c r="K43" s="190">
        <f t="shared" ref="K43:K45" si="58">H43*18%</f>
        <v>167400</v>
      </c>
      <c r="L43" s="190">
        <f t="shared" si="47"/>
        <v>1097400</v>
      </c>
    </row>
    <row r="44" spans="1:16" ht="53" customHeight="1" x14ac:dyDescent="0.35">
      <c r="A44" s="96"/>
      <c r="B44" s="196">
        <v>11</v>
      </c>
      <c r="C44" s="62" t="s">
        <v>260</v>
      </c>
      <c r="D44" s="56" t="s">
        <v>98</v>
      </c>
      <c r="E44" s="190">
        <v>1</v>
      </c>
      <c r="F44" s="193">
        <v>1000000</v>
      </c>
      <c r="G44" s="190">
        <f t="shared" si="38"/>
        <v>775000</v>
      </c>
      <c r="H44" s="190">
        <f t="shared" ref="H44:H45" si="59">E44*G44</f>
        <v>775000</v>
      </c>
      <c r="I44" s="194">
        <v>1</v>
      </c>
      <c r="J44" s="193">
        <f t="shared" si="57"/>
        <v>775000</v>
      </c>
      <c r="K44" s="190">
        <f t="shared" si="58"/>
        <v>139500</v>
      </c>
      <c r="L44" s="190">
        <f t="shared" si="47"/>
        <v>914500</v>
      </c>
      <c r="M44" s="24"/>
      <c r="N44" s="23"/>
      <c r="O44" s="23"/>
      <c r="P44" s="32"/>
    </row>
    <row r="45" spans="1:16" ht="47" customHeight="1" x14ac:dyDescent="0.35">
      <c r="A45" s="96"/>
      <c r="B45" s="196">
        <v>12</v>
      </c>
      <c r="C45" s="62" t="s">
        <v>261</v>
      </c>
      <c r="D45" s="56" t="s">
        <v>98</v>
      </c>
      <c r="E45" s="190">
        <v>1</v>
      </c>
      <c r="F45" s="193">
        <v>100000</v>
      </c>
      <c r="G45" s="190">
        <f t="shared" si="38"/>
        <v>77500</v>
      </c>
      <c r="H45" s="190">
        <f t="shared" si="59"/>
        <v>77500</v>
      </c>
      <c r="I45" s="194">
        <v>1</v>
      </c>
      <c r="J45" s="193">
        <f t="shared" si="57"/>
        <v>77500</v>
      </c>
      <c r="K45" s="190">
        <f t="shared" si="58"/>
        <v>13950</v>
      </c>
      <c r="L45" s="190">
        <f t="shared" si="47"/>
        <v>91450</v>
      </c>
      <c r="M45" s="24"/>
      <c r="N45" s="23"/>
      <c r="O45" s="23"/>
      <c r="P45" s="32"/>
    </row>
    <row r="46" spans="1:16" ht="59" customHeight="1" x14ac:dyDescent="0.35">
      <c r="A46" s="96"/>
      <c r="B46" s="196">
        <v>13</v>
      </c>
      <c r="C46" s="189" t="s">
        <v>262</v>
      </c>
      <c r="D46" s="56" t="s">
        <v>102</v>
      </c>
      <c r="E46" s="190">
        <v>5000</v>
      </c>
      <c r="F46" s="190">
        <v>1800</v>
      </c>
      <c r="G46" s="190">
        <f t="shared" si="38"/>
        <v>1395</v>
      </c>
      <c r="H46" s="190">
        <f>G46*E46</f>
        <v>6975000</v>
      </c>
      <c r="I46" s="194">
        <v>1</v>
      </c>
      <c r="J46" s="193">
        <f t="shared" ref="J46:J56" si="60">H46*I46</f>
        <v>6975000</v>
      </c>
      <c r="K46" s="190">
        <f t="shared" ref="K46:K56" si="61">H46*18%</f>
        <v>1255500</v>
      </c>
      <c r="L46" s="190">
        <f t="shared" ref="L46:L56" si="62">H46+K46</f>
        <v>8230500</v>
      </c>
      <c r="M46" s="4" t="e">
        <f>J46/#REF!</f>
        <v>#REF!</v>
      </c>
      <c r="N46" s="4" t="e">
        <f>M46/77.5%</f>
        <v>#REF!</v>
      </c>
    </row>
    <row r="47" spans="1:16" ht="20" customHeight="1" x14ac:dyDescent="0.35">
      <c r="A47" s="96"/>
      <c r="B47" s="196">
        <v>14</v>
      </c>
      <c r="C47" s="60" t="s">
        <v>263</v>
      </c>
      <c r="D47" s="56" t="s">
        <v>102</v>
      </c>
      <c r="E47" s="190">
        <v>5000</v>
      </c>
      <c r="F47" s="190">
        <v>1800</v>
      </c>
      <c r="G47" s="190">
        <f t="shared" si="38"/>
        <v>1395</v>
      </c>
      <c r="H47" s="190">
        <f t="shared" ref="H47:H48" si="63">G47*E47</f>
        <v>6975000</v>
      </c>
      <c r="I47" s="194">
        <v>1</v>
      </c>
      <c r="J47" s="193">
        <f t="shared" si="60"/>
        <v>6975000</v>
      </c>
      <c r="K47" s="190">
        <f t="shared" si="61"/>
        <v>1255500</v>
      </c>
      <c r="L47" s="190">
        <f t="shared" si="62"/>
        <v>8230500</v>
      </c>
      <c r="M47" s="4" t="e">
        <f>J47/#REF!</f>
        <v>#REF!</v>
      </c>
      <c r="N47" s="4" t="e">
        <f t="shared" ref="N47:N52" si="64">M47/77.5%</f>
        <v>#REF!</v>
      </c>
    </row>
    <row r="48" spans="1:16" ht="20" customHeight="1" x14ac:dyDescent="0.35">
      <c r="A48" s="96"/>
      <c r="B48" s="196">
        <v>15</v>
      </c>
      <c r="C48" s="60" t="s">
        <v>264</v>
      </c>
      <c r="D48" s="56" t="s">
        <v>102</v>
      </c>
      <c r="E48" s="190">
        <v>5000</v>
      </c>
      <c r="F48" s="190">
        <v>2400</v>
      </c>
      <c r="G48" s="190">
        <f t="shared" si="38"/>
        <v>1860</v>
      </c>
      <c r="H48" s="190">
        <f t="shared" si="63"/>
        <v>9300000</v>
      </c>
      <c r="I48" s="194">
        <v>1</v>
      </c>
      <c r="J48" s="193">
        <f t="shared" si="60"/>
        <v>9300000</v>
      </c>
      <c r="K48" s="190">
        <f t="shared" si="61"/>
        <v>1674000</v>
      </c>
      <c r="L48" s="190">
        <f t="shared" si="62"/>
        <v>10974000</v>
      </c>
      <c r="M48" s="4" t="e">
        <f>J48/#REF!</f>
        <v>#REF!</v>
      </c>
      <c r="N48" s="4" t="e">
        <f t="shared" si="64"/>
        <v>#REF!</v>
      </c>
    </row>
    <row r="49" spans="1:15" ht="20" customHeight="1" x14ac:dyDescent="0.35">
      <c r="A49" s="96"/>
      <c r="B49" s="196">
        <v>16</v>
      </c>
      <c r="C49" s="60" t="s">
        <v>265</v>
      </c>
      <c r="D49" s="56" t="s">
        <v>102</v>
      </c>
      <c r="E49" s="190">
        <v>20000</v>
      </c>
      <c r="F49" s="190">
        <v>1250</v>
      </c>
      <c r="G49" s="190">
        <f t="shared" si="38"/>
        <v>968.75</v>
      </c>
      <c r="H49" s="190">
        <f t="shared" ref="H49:H52" si="65">G49*E49</f>
        <v>19375000</v>
      </c>
      <c r="I49" s="194">
        <v>1</v>
      </c>
      <c r="J49" s="193">
        <f t="shared" si="60"/>
        <v>19375000</v>
      </c>
      <c r="K49" s="190">
        <f t="shared" si="61"/>
        <v>3487500</v>
      </c>
      <c r="L49" s="190">
        <f t="shared" si="62"/>
        <v>22862500</v>
      </c>
      <c r="M49" s="4" t="e">
        <f>J49/#REF!</f>
        <v>#REF!</v>
      </c>
      <c r="N49" s="141" t="e">
        <f t="shared" si="64"/>
        <v>#REF!</v>
      </c>
    </row>
    <row r="50" spans="1:15" ht="20" customHeight="1" x14ac:dyDescent="0.35">
      <c r="A50" s="96"/>
      <c r="B50" s="196">
        <v>17</v>
      </c>
      <c r="C50" s="60" t="s">
        <v>266</v>
      </c>
      <c r="D50" s="56" t="s">
        <v>102</v>
      </c>
      <c r="E50" s="190">
        <v>20000</v>
      </c>
      <c r="F50" s="190">
        <v>1250</v>
      </c>
      <c r="G50" s="190">
        <f t="shared" si="38"/>
        <v>968.75</v>
      </c>
      <c r="H50" s="190">
        <f t="shared" si="65"/>
        <v>19375000</v>
      </c>
      <c r="I50" s="194">
        <v>1</v>
      </c>
      <c r="J50" s="193">
        <f t="shared" si="60"/>
        <v>19375000</v>
      </c>
      <c r="K50" s="190">
        <f t="shared" si="61"/>
        <v>3487500</v>
      </c>
      <c r="L50" s="190">
        <f t="shared" si="62"/>
        <v>22862500</v>
      </c>
      <c r="M50" s="4" t="e">
        <f>J50/#REF!</f>
        <v>#REF!</v>
      </c>
      <c r="N50" s="141" t="e">
        <f t="shared" si="64"/>
        <v>#REF!</v>
      </c>
    </row>
    <row r="51" spans="1:15" ht="20" customHeight="1" x14ac:dyDescent="0.35">
      <c r="A51" s="96"/>
      <c r="B51" s="196">
        <v>18</v>
      </c>
      <c r="C51" s="60" t="s">
        <v>267</v>
      </c>
      <c r="D51" s="56" t="s">
        <v>102</v>
      </c>
      <c r="E51" s="190">
        <v>20000</v>
      </c>
      <c r="F51" s="190">
        <v>1750</v>
      </c>
      <c r="G51" s="190">
        <f t="shared" si="38"/>
        <v>1356.25</v>
      </c>
      <c r="H51" s="190">
        <f t="shared" si="65"/>
        <v>27125000</v>
      </c>
      <c r="I51" s="194">
        <v>1</v>
      </c>
      <c r="J51" s="193">
        <f t="shared" si="60"/>
        <v>27125000</v>
      </c>
      <c r="K51" s="190">
        <f t="shared" si="61"/>
        <v>4882500</v>
      </c>
      <c r="L51" s="190">
        <f t="shared" si="62"/>
        <v>32007500</v>
      </c>
      <c r="M51" s="4" t="e">
        <f>J51/#REF!</f>
        <v>#REF!</v>
      </c>
      <c r="N51" s="141" t="e">
        <f t="shared" si="64"/>
        <v>#REF!</v>
      </c>
    </row>
    <row r="52" spans="1:15" ht="20" customHeight="1" x14ac:dyDescent="0.35">
      <c r="A52" s="96"/>
      <c r="B52" s="196">
        <v>19</v>
      </c>
      <c r="C52" s="60" t="s">
        <v>268</v>
      </c>
      <c r="D52" s="56" t="s">
        <v>102</v>
      </c>
      <c r="E52" s="190">
        <v>20000</v>
      </c>
      <c r="F52" s="190">
        <v>750</v>
      </c>
      <c r="G52" s="190">
        <f t="shared" si="38"/>
        <v>581.25</v>
      </c>
      <c r="H52" s="190">
        <f t="shared" si="65"/>
        <v>11625000</v>
      </c>
      <c r="I52" s="194">
        <v>1</v>
      </c>
      <c r="J52" s="193">
        <f t="shared" si="60"/>
        <v>11625000</v>
      </c>
      <c r="K52" s="190">
        <f t="shared" si="61"/>
        <v>2092500</v>
      </c>
      <c r="L52" s="190">
        <f t="shared" si="62"/>
        <v>13717500</v>
      </c>
      <c r="M52" s="4" t="e">
        <f>J52/#REF!</f>
        <v>#REF!</v>
      </c>
      <c r="N52" s="141" t="e">
        <f t="shared" si="64"/>
        <v>#REF!</v>
      </c>
    </row>
    <row r="53" spans="1:15" ht="20" customHeight="1" x14ac:dyDescent="0.35">
      <c r="A53" s="96"/>
      <c r="B53" s="196">
        <v>20</v>
      </c>
      <c r="C53" s="60" t="s">
        <v>283</v>
      </c>
      <c r="D53" s="69" t="s">
        <v>108</v>
      </c>
      <c r="E53" s="190">
        <v>2500</v>
      </c>
      <c r="F53" s="190">
        <v>2000</v>
      </c>
      <c r="G53" s="190">
        <f t="shared" si="38"/>
        <v>1550</v>
      </c>
      <c r="H53" s="190">
        <f t="shared" ref="H53:H56" si="66">E53*G53</f>
        <v>3875000</v>
      </c>
      <c r="I53" s="194">
        <v>1</v>
      </c>
      <c r="J53" s="193">
        <f t="shared" si="60"/>
        <v>3875000</v>
      </c>
      <c r="K53" s="190">
        <f t="shared" si="61"/>
        <v>697500</v>
      </c>
      <c r="L53" s="190">
        <f t="shared" si="62"/>
        <v>4572500</v>
      </c>
      <c r="M53" s="4">
        <v>3875000</v>
      </c>
      <c r="N53" s="4">
        <f>M53/2500</f>
        <v>1550</v>
      </c>
      <c r="O53" s="4">
        <f>N53/77.5%</f>
        <v>2000</v>
      </c>
    </row>
    <row r="54" spans="1:15" ht="20" customHeight="1" x14ac:dyDescent="0.35">
      <c r="A54" s="96"/>
      <c r="B54" s="196">
        <v>21</v>
      </c>
      <c r="C54" s="60" t="s">
        <v>284</v>
      </c>
      <c r="D54" s="69" t="s">
        <v>108</v>
      </c>
      <c r="E54" s="190">
        <v>2500</v>
      </c>
      <c r="F54" s="190">
        <v>800</v>
      </c>
      <c r="G54" s="190">
        <f t="shared" si="38"/>
        <v>620</v>
      </c>
      <c r="H54" s="190">
        <f t="shared" si="66"/>
        <v>1550000</v>
      </c>
      <c r="I54" s="194">
        <v>1</v>
      </c>
      <c r="J54" s="193">
        <f t="shared" si="60"/>
        <v>1550000</v>
      </c>
      <c r="K54" s="190">
        <f t="shared" si="61"/>
        <v>279000</v>
      </c>
      <c r="L54" s="190">
        <f t="shared" si="62"/>
        <v>1829000</v>
      </c>
      <c r="M54" s="4">
        <v>1550000</v>
      </c>
      <c r="N54" s="4">
        <f t="shared" ref="N54:N56" si="67">M54/2500</f>
        <v>620</v>
      </c>
      <c r="O54" s="4">
        <f t="shared" ref="O54:O56" si="68">N54/77.5%</f>
        <v>800</v>
      </c>
    </row>
    <row r="55" spans="1:15" ht="20" customHeight="1" x14ac:dyDescent="0.35">
      <c r="A55" s="96"/>
      <c r="B55" s="196">
        <v>22</v>
      </c>
      <c r="C55" s="60" t="s">
        <v>285</v>
      </c>
      <c r="D55" s="69" t="s">
        <v>108</v>
      </c>
      <c r="E55" s="190">
        <v>2500</v>
      </c>
      <c r="F55" s="190">
        <v>4000</v>
      </c>
      <c r="G55" s="190">
        <f t="shared" si="38"/>
        <v>3100</v>
      </c>
      <c r="H55" s="190">
        <f t="shared" si="66"/>
        <v>7750000</v>
      </c>
      <c r="I55" s="194">
        <v>1</v>
      </c>
      <c r="J55" s="193">
        <f t="shared" si="60"/>
        <v>7750000</v>
      </c>
      <c r="K55" s="190">
        <f t="shared" si="61"/>
        <v>1395000</v>
      </c>
      <c r="L55" s="190">
        <f t="shared" si="62"/>
        <v>9145000</v>
      </c>
      <c r="M55" s="4">
        <v>7750000</v>
      </c>
      <c r="N55" s="4">
        <f t="shared" si="67"/>
        <v>3100</v>
      </c>
      <c r="O55" s="4">
        <f t="shared" si="68"/>
        <v>4000</v>
      </c>
    </row>
    <row r="56" spans="1:15" ht="20" customHeight="1" x14ac:dyDescent="0.35">
      <c r="A56" s="96"/>
      <c r="B56" s="196">
        <v>23</v>
      </c>
      <c r="C56" s="60" t="s">
        <v>286</v>
      </c>
      <c r="D56" s="69" t="s">
        <v>108</v>
      </c>
      <c r="E56" s="190">
        <v>2500</v>
      </c>
      <c r="F56" s="190">
        <v>1200</v>
      </c>
      <c r="G56" s="190">
        <f t="shared" si="38"/>
        <v>930</v>
      </c>
      <c r="H56" s="190">
        <f t="shared" si="66"/>
        <v>2325000</v>
      </c>
      <c r="I56" s="194">
        <v>1</v>
      </c>
      <c r="J56" s="193">
        <f t="shared" si="60"/>
        <v>2325000</v>
      </c>
      <c r="K56" s="190">
        <f t="shared" si="61"/>
        <v>418500</v>
      </c>
      <c r="L56" s="190">
        <f t="shared" si="62"/>
        <v>2743500</v>
      </c>
      <c r="M56" s="4">
        <v>2325000</v>
      </c>
      <c r="N56" s="4">
        <f t="shared" si="67"/>
        <v>930</v>
      </c>
      <c r="O56" s="4">
        <f t="shared" si="68"/>
        <v>1200</v>
      </c>
    </row>
    <row r="57" spans="1:15" ht="24" customHeight="1" x14ac:dyDescent="0.35">
      <c r="A57" s="96"/>
      <c r="B57" s="55" t="s">
        <v>189</v>
      </c>
      <c r="C57" s="55"/>
      <c r="D57" s="55"/>
      <c r="E57" s="55"/>
      <c r="F57" s="55"/>
      <c r="G57" s="55"/>
      <c r="H57" s="64">
        <f>SUM(H34:H56)</f>
        <v>175339875</v>
      </c>
      <c r="I57" s="64" t="e">
        <f>I56+I55+I54+I53+I52+I51+I50+I49+I48+I47+I46+#REF!+I42+I41+I40+I39+#REF!+I36+I35+I34</f>
        <v>#REF!</v>
      </c>
      <c r="J57" s="64" t="e">
        <f>J56+J55+J54+J53+J52+J51+J50+J49+J48+J47+J46+#REF!+J42+J41+J40+J39+#REF!+J36+J35+J34</f>
        <v>#REF!</v>
      </c>
      <c r="K57" s="64">
        <f>SUM(K34:K56)</f>
        <v>31561177.5</v>
      </c>
      <c r="L57" s="64">
        <f>SUM(L34:L56)</f>
        <v>206901052.5</v>
      </c>
    </row>
    <row r="58" spans="1:15" ht="30" customHeight="1" thickBot="1" x14ac:dyDescent="0.4">
      <c r="B58" s="222" t="s">
        <v>54</v>
      </c>
      <c r="C58" s="223"/>
      <c r="D58" s="223"/>
      <c r="E58" s="223"/>
      <c r="F58" s="223"/>
      <c r="G58" s="223"/>
      <c r="H58" s="223"/>
      <c r="I58" s="223"/>
      <c r="J58" s="223"/>
      <c r="K58" s="223"/>
      <c r="L58" s="224"/>
    </row>
    <row r="59" spans="1:15" ht="33" customHeight="1" x14ac:dyDescent="0.35">
      <c r="B59" s="110" t="s">
        <v>53</v>
      </c>
      <c r="C59" s="225" t="s">
        <v>49</v>
      </c>
      <c r="D59" s="225"/>
      <c r="E59" s="225"/>
      <c r="F59" s="225"/>
      <c r="G59" s="225"/>
      <c r="H59" s="225"/>
      <c r="I59" s="225"/>
      <c r="J59" s="225"/>
      <c r="K59" s="225"/>
      <c r="L59" s="226"/>
      <c r="N59" s="148" t="s">
        <v>248</v>
      </c>
    </row>
    <row r="60" spans="1:15" ht="35.5" customHeight="1" x14ac:dyDescent="0.35">
      <c r="B60" s="70" t="s">
        <v>50</v>
      </c>
      <c r="C60" s="227" t="s">
        <v>22</v>
      </c>
      <c r="D60" s="227"/>
      <c r="E60" s="227"/>
      <c r="F60" s="227"/>
      <c r="G60" s="227"/>
      <c r="H60" s="227"/>
      <c r="I60" s="227"/>
      <c r="J60" s="227"/>
      <c r="K60" s="227"/>
      <c r="L60" s="228"/>
    </row>
    <row r="61" spans="1:15" ht="37.5" customHeight="1" x14ac:dyDescent="0.35">
      <c r="B61" s="70" t="s">
        <v>51</v>
      </c>
      <c r="C61" s="227" t="s">
        <v>52</v>
      </c>
      <c r="D61" s="227"/>
      <c r="E61" s="227"/>
      <c r="F61" s="227"/>
      <c r="G61" s="227"/>
      <c r="H61" s="227"/>
      <c r="I61" s="227"/>
      <c r="J61" s="227"/>
      <c r="K61" s="227"/>
      <c r="L61" s="228"/>
    </row>
    <row r="62" spans="1:15" ht="27.5" customHeight="1" x14ac:dyDescent="0.35">
      <c r="B62" s="54" t="s">
        <v>78</v>
      </c>
      <c r="C62" s="229" t="s">
        <v>97</v>
      </c>
      <c r="D62" s="229"/>
      <c r="E62" s="229"/>
      <c r="F62" s="229"/>
      <c r="G62" s="229"/>
      <c r="H62" s="229"/>
      <c r="I62" s="229"/>
      <c r="J62" s="229"/>
      <c r="K62" s="229"/>
      <c r="L62" s="230"/>
    </row>
    <row r="63" spans="1:15" ht="43.75" customHeight="1" x14ac:dyDescent="0.35">
      <c r="B63" s="54" t="s">
        <v>79</v>
      </c>
      <c r="C63" s="234" t="s">
        <v>191</v>
      </c>
      <c r="D63" s="234"/>
      <c r="E63" s="234"/>
      <c r="F63" s="234"/>
      <c r="G63" s="234"/>
      <c r="H63" s="234"/>
      <c r="I63" s="234"/>
      <c r="J63" s="234"/>
      <c r="K63" s="234"/>
      <c r="L63" s="235"/>
    </row>
    <row r="64" spans="1:15" ht="40.5" customHeight="1" x14ac:dyDescent="0.35">
      <c r="B64" s="54" t="s">
        <v>86</v>
      </c>
      <c r="C64" s="212" t="s">
        <v>195</v>
      </c>
      <c r="D64" s="212"/>
      <c r="E64" s="212"/>
      <c r="F64" s="212"/>
      <c r="G64" s="212"/>
      <c r="H64" s="212"/>
      <c r="I64" s="212"/>
      <c r="J64" s="212"/>
      <c r="K64" s="212"/>
      <c r="L64" s="213"/>
    </row>
    <row r="65" spans="2:12" ht="32.5" customHeight="1" thickBot="1" x14ac:dyDescent="0.4">
      <c r="B65" s="111" t="s">
        <v>119</v>
      </c>
      <c r="C65" s="214" t="s">
        <v>190</v>
      </c>
      <c r="D65" s="214"/>
      <c r="E65" s="214"/>
      <c r="F65" s="214"/>
      <c r="G65" s="214"/>
      <c r="H65" s="214"/>
      <c r="I65" s="214"/>
      <c r="J65" s="214"/>
      <c r="K65" s="214"/>
      <c r="L65" s="215"/>
    </row>
    <row r="66" spans="2:12" x14ac:dyDescent="0.35">
      <c r="B66" s="49"/>
      <c r="C66" s="71"/>
      <c r="D66" s="72"/>
      <c r="E66" s="73"/>
      <c r="F66" s="72"/>
      <c r="G66" s="72"/>
      <c r="H66" s="72"/>
      <c r="I66" s="72"/>
      <c r="J66" s="72"/>
      <c r="K66" s="72"/>
      <c r="L66" s="72"/>
    </row>
  </sheetData>
  <mergeCells count="15">
    <mergeCell ref="B1:L1"/>
    <mergeCell ref="B2:L2"/>
    <mergeCell ref="B3:L3"/>
    <mergeCell ref="B4:L4"/>
    <mergeCell ref="C63:L63"/>
    <mergeCell ref="C64:L64"/>
    <mergeCell ref="C65:L65"/>
    <mergeCell ref="A6:L6"/>
    <mergeCell ref="A7:L7"/>
    <mergeCell ref="A32:L32"/>
    <mergeCell ref="B58:L58"/>
    <mergeCell ref="C59:L59"/>
    <mergeCell ref="C60:L60"/>
    <mergeCell ref="C61:L61"/>
    <mergeCell ref="C62:L62"/>
  </mergeCells>
  <printOptions horizontalCentered="1"/>
  <pageMargins left="0.27559055118110237" right="0.27559055118110237" top="0.35433070866141736" bottom="0.35433070866141736" header="0" footer="0"/>
  <pageSetup paperSize="9" scale="70" fitToHeight="120" orientation="landscape" r:id="rId1"/>
  <headerFooter>
    <oddFooter>Page &amp;P of &amp;N</oddFooter>
  </headerFooter>
  <rowBreaks count="1" manualBreakCount="1">
    <brk id="57" min="1" max="11"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939269-DFCB-4DCD-BDA5-0BE6F05EFDFB}">
  <dimension ref="A1:V95"/>
  <sheetViews>
    <sheetView zoomScale="63" zoomScaleNormal="109" zoomScaleSheetLayoutView="82" workbookViewId="0">
      <selection activeCell="A23" sqref="A23:C23"/>
    </sheetView>
  </sheetViews>
  <sheetFormatPr defaultColWidth="8.81640625" defaultRowHeight="15.5" x14ac:dyDescent="0.35"/>
  <cols>
    <col min="1" max="1" width="10.1796875" style="27" customWidth="1"/>
    <col min="2" max="2" width="56.1796875" style="4" bestFit="1" customWidth="1"/>
    <col min="3" max="3" width="10.453125" style="28" customWidth="1"/>
    <col min="4" max="4" width="13.81640625" style="31" customWidth="1"/>
    <col min="5" max="5" width="15.6328125" style="28" bestFit="1" customWidth="1"/>
    <col min="6" max="6" width="16.81640625" style="28" customWidth="1"/>
    <col min="7" max="7" width="18.36328125" style="28" bestFit="1" customWidth="1"/>
    <col min="8" max="8" width="10.1796875" style="28" hidden="1" customWidth="1"/>
    <col min="9" max="9" width="19.36328125" style="28" hidden="1" customWidth="1"/>
    <col min="10" max="10" width="17.36328125" style="28" bestFit="1" customWidth="1"/>
    <col min="11" max="11" width="19.81640625" style="28" bestFit="1" customWidth="1"/>
    <col min="12" max="12" width="19" style="4" customWidth="1"/>
    <col min="13" max="13" width="18.81640625" style="4" customWidth="1"/>
    <col min="14" max="14" width="16" style="4" bestFit="1" customWidth="1"/>
    <col min="15" max="15" width="19.81640625" style="4" customWidth="1"/>
    <col min="16" max="16" width="17.453125" style="4" customWidth="1"/>
    <col min="17" max="17" width="17.1796875" style="4" customWidth="1"/>
    <col min="18" max="18" width="15" style="4" customWidth="1"/>
    <col min="19" max="19" width="22.1796875" style="4" customWidth="1"/>
    <col min="20" max="20" width="8.81640625" style="4"/>
    <col min="21" max="21" width="25" style="4" customWidth="1"/>
    <col min="22" max="22" width="18" style="4" customWidth="1"/>
    <col min="23" max="16384" width="8.81640625" style="4"/>
  </cols>
  <sheetData>
    <row r="1" spans="1:22" s="2" customFormat="1" ht="30.5" customHeight="1" x14ac:dyDescent="0.35">
      <c r="A1" s="231" t="s">
        <v>23</v>
      </c>
      <c r="B1" s="231"/>
      <c r="C1" s="231"/>
      <c r="D1" s="231"/>
      <c r="E1" s="231"/>
      <c r="F1" s="231"/>
      <c r="G1" s="231"/>
      <c r="H1" s="231"/>
      <c r="I1" s="231"/>
      <c r="J1" s="231"/>
      <c r="K1" s="231"/>
    </row>
    <row r="2" spans="1:22" s="2" customFormat="1" ht="25.75" customHeight="1" x14ac:dyDescent="0.35">
      <c r="A2" s="232" t="s">
        <v>106</v>
      </c>
      <c r="B2" s="232"/>
      <c r="C2" s="232"/>
      <c r="D2" s="232"/>
      <c r="E2" s="232"/>
      <c r="F2" s="232"/>
      <c r="G2" s="232"/>
      <c r="H2" s="232"/>
      <c r="I2" s="232"/>
      <c r="J2" s="232"/>
      <c r="K2" s="232"/>
    </row>
    <row r="3" spans="1:22" ht="37.5" customHeight="1" x14ac:dyDescent="0.35">
      <c r="A3" s="233" t="s">
        <v>187</v>
      </c>
      <c r="B3" s="233"/>
      <c r="C3" s="233"/>
      <c r="D3" s="233"/>
      <c r="E3" s="233"/>
      <c r="F3" s="233"/>
      <c r="G3" s="233"/>
      <c r="H3" s="233"/>
      <c r="I3" s="233"/>
      <c r="J3" s="233"/>
      <c r="K3" s="233"/>
    </row>
    <row r="4" spans="1:22" ht="25.75" customHeight="1" thickBot="1" x14ac:dyDescent="0.4">
      <c r="A4" s="232" t="s">
        <v>55</v>
      </c>
      <c r="B4" s="232"/>
      <c r="C4" s="232"/>
      <c r="D4" s="232"/>
      <c r="E4" s="232"/>
      <c r="F4" s="232"/>
      <c r="G4" s="232"/>
      <c r="H4" s="232"/>
      <c r="I4" s="232"/>
      <c r="J4" s="232"/>
      <c r="K4" s="232"/>
    </row>
    <row r="5" spans="1:22" s="5" customFormat="1" ht="43.75" customHeight="1" thickBot="1" x14ac:dyDescent="0.4">
      <c r="A5" s="46" t="s">
        <v>12</v>
      </c>
      <c r="B5" s="47" t="s">
        <v>0</v>
      </c>
      <c r="C5" s="48" t="s">
        <v>99</v>
      </c>
      <c r="D5" s="48" t="s">
        <v>109</v>
      </c>
      <c r="E5" s="48" t="s">
        <v>112</v>
      </c>
      <c r="F5" s="48" t="s">
        <v>110</v>
      </c>
      <c r="G5" s="48" t="s">
        <v>111</v>
      </c>
      <c r="H5" s="47" t="s">
        <v>24</v>
      </c>
      <c r="I5" s="48" t="s">
        <v>113</v>
      </c>
      <c r="J5" s="47" t="s">
        <v>21</v>
      </c>
      <c r="K5" s="133" t="s">
        <v>114</v>
      </c>
      <c r="Q5" s="147"/>
    </row>
    <row r="6" spans="1:22" s="5" customFormat="1" ht="34.75" customHeight="1" thickBot="1" x14ac:dyDescent="0.4">
      <c r="A6" s="46">
        <v>1</v>
      </c>
      <c r="B6" s="47">
        <v>2</v>
      </c>
      <c r="C6" s="47">
        <v>3</v>
      </c>
      <c r="D6" s="47">
        <v>4</v>
      </c>
      <c r="E6" s="47">
        <v>5</v>
      </c>
      <c r="F6" s="82" t="s">
        <v>115</v>
      </c>
      <c r="G6" s="82" t="s">
        <v>116</v>
      </c>
      <c r="H6" s="82" t="s">
        <v>117</v>
      </c>
      <c r="I6" s="82" t="s">
        <v>118</v>
      </c>
      <c r="J6" s="48" t="s">
        <v>196</v>
      </c>
      <c r="K6" s="133" t="s">
        <v>197</v>
      </c>
      <c r="Q6" s="146"/>
    </row>
    <row r="7" spans="1:22" s="5" customFormat="1" ht="39" customHeight="1" x14ac:dyDescent="0.35">
      <c r="A7" s="253" t="s">
        <v>77</v>
      </c>
      <c r="B7" s="254"/>
      <c r="C7" s="254"/>
      <c r="D7" s="254"/>
      <c r="E7" s="254"/>
      <c r="F7" s="254"/>
      <c r="G7" s="254"/>
      <c r="H7" s="254"/>
      <c r="I7" s="254"/>
      <c r="J7" s="254"/>
      <c r="K7" s="255"/>
    </row>
    <row r="8" spans="1:22" s="5" customFormat="1" ht="25.25" customHeight="1" thickBot="1" x14ac:dyDescent="0.4">
      <c r="A8" s="250" t="s">
        <v>193</v>
      </c>
      <c r="B8" s="251"/>
      <c r="C8" s="251"/>
      <c r="D8" s="251"/>
      <c r="E8" s="251"/>
      <c r="F8" s="251"/>
      <c r="G8" s="251"/>
      <c r="H8" s="251"/>
      <c r="I8" s="251"/>
      <c r="J8" s="251"/>
      <c r="K8" s="252"/>
    </row>
    <row r="9" spans="1:22" s="8" customFormat="1" ht="22" customHeight="1" x14ac:dyDescent="0.4">
      <c r="A9" s="35" t="s">
        <v>25</v>
      </c>
      <c r="B9" s="36" t="s">
        <v>13</v>
      </c>
      <c r="C9" s="37"/>
      <c r="D9" s="38"/>
      <c r="E9" s="37"/>
      <c r="F9" s="37"/>
      <c r="G9" s="37"/>
      <c r="H9" s="37"/>
      <c r="I9" s="37"/>
      <c r="J9" s="37"/>
      <c r="K9" s="134"/>
      <c r="N9" s="256" t="s">
        <v>199</v>
      </c>
      <c r="O9" s="256"/>
      <c r="P9" s="256" t="s">
        <v>200</v>
      </c>
      <c r="Q9" s="256"/>
      <c r="R9" s="256" t="s">
        <v>201</v>
      </c>
      <c r="S9" s="256"/>
    </row>
    <row r="10" spans="1:22" ht="20" customHeight="1" x14ac:dyDescent="0.35">
      <c r="A10" s="40" t="s">
        <v>26</v>
      </c>
      <c r="B10" s="19" t="s">
        <v>220</v>
      </c>
      <c r="C10" s="29" t="s">
        <v>100</v>
      </c>
      <c r="D10" s="30">
        <f>514947.5-1997.5</f>
        <v>512950</v>
      </c>
      <c r="E10" s="30">
        <v>800</v>
      </c>
      <c r="F10" s="30">
        <f t="shared" ref="F10:F12" si="0">ROUND(E10*77.5%,2)</f>
        <v>620</v>
      </c>
      <c r="G10" s="30">
        <f t="shared" ref="G10:G12" si="1">ROUND(D10*F10,2)</f>
        <v>318029000</v>
      </c>
      <c r="H10" s="11">
        <v>1</v>
      </c>
      <c r="I10" s="12">
        <f t="shared" ref="I10" si="2">G10*H10</f>
        <v>318029000</v>
      </c>
      <c r="J10" s="30">
        <f t="shared" ref="J10:J12" si="3">ROUND(G10*18%,2)</f>
        <v>57245220</v>
      </c>
      <c r="K10" s="150">
        <f t="shared" ref="K10:K12" si="4">G10+J10</f>
        <v>375274220</v>
      </c>
      <c r="L10" s="148"/>
      <c r="M10" s="4" t="s">
        <v>198</v>
      </c>
      <c r="N10" s="23">
        <f>D13</f>
        <v>0</v>
      </c>
      <c r="O10" s="23">
        <f>K13</f>
        <v>407281720</v>
      </c>
      <c r="P10" s="23" t="e">
        <f>#REF!</f>
        <v>#REF!</v>
      </c>
      <c r="Q10" s="23" t="e">
        <f>#REF!</f>
        <v>#REF!</v>
      </c>
      <c r="R10" s="148" t="e">
        <f>N10+P10</f>
        <v>#REF!</v>
      </c>
      <c r="S10" s="148" t="e">
        <f>O10+Q10</f>
        <v>#REF!</v>
      </c>
      <c r="U10" s="4">
        <v>542800000</v>
      </c>
      <c r="V10" s="148">
        <f>U10*0.775</f>
        <v>420670000</v>
      </c>
    </row>
    <row r="11" spans="1:22" s="2" customFormat="1" ht="20" customHeight="1" x14ac:dyDescent="0.35">
      <c r="A11" s="40" t="s">
        <v>27</v>
      </c>
      <c r="B11" s="19" t="s">
        <v>104</v>
      </c>
      <c r="C11" s="29" t="s">
        <v>102</v>
      </c>
      <c r="D11" s="30">
        <v>5250</v>
      </c>
      <c r="E11" s="30">
        <v>4000</v>
      </c>
      <c r="F11" s="30">
        <f t="shared" si="0"/>
        <v>3100</v>
      </c>
      <c r="G11" s="30">
        <f t="shared" si="1"/>
        <v>16275000</v>
      </c>
      <c r="H11" s="11">
        <v>1</v>
      </c>
      <c r="I11" s="12">
        <f t="shared" ref="I11:I12" si="5">G11*H11</f>
        <v>16275000</v>
      </c>
      <c r="J11" s="30">
        <f t="shared" si="3"/>
        <v>2929500</v>
      </c>
      <c r="K11" s="150">
        <f t="shared" si="4"/>
        <v>19204500</v>
      </c>
      <c r="L11" s="148"/>
      <c r="M11" s="20"/>
    </row>
    <row r="12" spans="1:22" s="2" customFormat="1" ht="20" customHeight="1" x14ac:dyDescent="0.35">
      <c r="A12" s="39" t="s">
        <v>28</v>
      </c>
      <c r="B12" s="19" t="s">
        <v>107</v>
      </c>
      <c r="C12" s="29" t="s">
        <v>100</v>
      </c>
      <c r="D12" s="30">
        <v>140000</v>
      </c>
      <c r="E12" s="30">
        <v>100</v>
      </c>
      <c r="F12" s="30">
        <f t="shared" si="0"/>
        <v>77.5</v>
      </c>
      <c r="G12" s="30">
        <f t="shared" si="1"/>
        <v>10850000</v>
      </c>
      <c r="H12" s="11">
        <v>1</v>
      </c>
      <c r="I12" s="12">
        <f t="shared" si="5"/>
        <v>10850000</v>
      </c>
      <c r="J12" s="30">
        <f t="shared" si="3"/>
        <v>1953000</v>
      </c>
      <c r="K12" s="150">
        <f t="shared" si="4"/>
        <v>12803000</v>
      </c>
      <c r="L12" s="148"/>
    </row>
    <row r="13" spans="1:22" ht="24.5" customHeight="1" x14ac:dyDescent="0.35">
      <c r="A13" s="257" t="s">
        <v>80</v>
      </c>
      <c r="B13" s="258"/>
      <c r="C13" s="258"/>
      <c r="D13" s="113"/>
      <c r="E13" s="9"/>
      <c r="F13" s="9"/>
      <c r="G13" s="113">
        <f>SUM(G10:G12)</f>
        <v>345154000</v>
      </c>
      <c r="H13" s="9"/>
      <c r="I13" s="113">
        <f>SUM(I10:I12)</f>
        <v>345154000</v>
      </c>
      <c r="J13" s="113">
        <f>SUM(J10:J12)</f>
        <v>62127720</v>
      </c>
      <c r="K13" s="116">
        <f>SUM(K10:K12)</f>
        <v>407281720</v>
      </c>
      <c r="L13" s="148"/>
      <c r="M13" s="4">
        <v>407281720</v>
      </c>
    </row>
    <row r="14" spans="1:22" s="8" customFormat="1" ht="22" customHeight="1" x14ac:dyDescent="0.4">
      <c r="A14" s="41" t="s">
        <v>29</v>
      </c>
      <c r="B14" s="264" t="s">
        <v>14</v>
      </c>
      <c r="C14" s="265"/>
      <c r="D14" s="265"/>
      <c r="E14" s="265"/>
      <c r="F14" s="265"/>
      <c r="G14" s="265"/>
      <c r="H14" s="265"/>
      <c r="I14" s="265"/>
      <c r="J14" s="265"/>
      <c r="K14" s="266"/>
      <c r="M14" s="151"/>
    </row>
    <row r="15" spans="1:22" s="2" customFormat="1" ht="20" customHeight="1" x14ac:dyDescent="0.35">
      <c r="A15" s="34" t="s">
        <v>30</v>
      </c>
      <c r="B15" s="19" t="s">
        <v>221</v>
      </c>
      <c r="C15" s="29" t="s">
        <v>100</v>
      </c>
      <c r="D15" s="30">
        <v>3330</v>
      </c>
      <c r="E15" s="30">
        <v>15000</v>
      </c>
      <c r="F15" s="30">
        <f>ROUND(E15*77.5%,2)</f>
        <v>11625</v>
      </c>
      <c r="G15" s="30">
        <f>ROUND(D15*F15,2)</f>
        <v>38711250</v>
      </c>
      <c r="H15" s="11">
        <v>1</v>
      </c>
      <c r="I15" s="12">
        <f t="shared" ref="I15" si="6">G15*H15</f>
        <v>38711250</v>
      </c>
      <c r="J15" s="30">
        <f>ROUND(G15*18%,2)</f>
        <v>6968025</v>
      </c>
      <c r="K15" s="150">
        <f t="shared" ref="K15" si="7">G15+J15</f>
        <v>45679275</v>
      </c>
      <c r="N15" s="149"/>
    </row>
    <row r="16" spans="1:22" s="2" customFormat="1" x14ac:dyDescent="0.35">
      <c r="A16" s="259"/>
      <c r="B16" s="260"/>
      <c r="C16" s="260"/>
      <c r="D16" s="64"/>
      <c r="E16" s="55"/>
      <c r="F16" s="55"/>
      <c r="G16" s="64"/>
      <c r="H16" s="55"/>
      <c r="I16" s="64"/>
      <c r="J16" s="64"/>
      <c r="K16" s="109"/>
      <c r="N16" s="149"/>
    </row>
    <row r="17" spans="1:15" s="8" customFormat="1" ht="22" customHeight="1" x14ac:dyDescent="0.4">
      <c r="A17" s="50" t="s">
        <v>31</v>
      </c>
      <c r="B17" s="51" t="s">
        <v>15</v>
      </c>
      <c r="C17" s="52"/>
      <c r="D17" s="53"/>
      <c r="E17" s="52"/>
      <c r="F17" s="52"/>
      <c r="G17" s="52"/>
      <c r="H17" s="52"/>
      <c r="I17" s="52"/>
      <c r="J17" s="52"/>
      <c r="K17" s="136"/>
      <c r="N17" s="151"/>
    </row>
    <row r="18" spans="1:15" s="2" customFormat="1" ht="20" customHeight="1" x14ac:dyDescent="0.35">
      <c r="A18" s="54" t="s">
        <v>32</v>
      </c>
      <c r="B18" s="55" t="s">
        <v>234</v>
      </c>
      <c r="C18" s="80" t="s">
        <v>100</v>
      </c>
      <c r="D18" s="57">
        <v>23960</v>
      </c>
      <c r="E18" s="56">
        <v>27500</v>
      </c>
      <c r="F18" s="30">
        <f t="shared" ref="F18" si="8">E18*77.5%</f>
        <v>21312.5</v>
      </c>
      <c r="G18" s="30">
        <f t="shared" ref="G18" si="9">D18*F18</f>
        <v>510647500</v>
      </c>
      <c r="H18" s="174">
        <v>1</v>
      </c>
      <c r="I18" s="152">
        <f t="shared" ref="I18" si="10">G18*H18</f>
        <v>510647500</v>
      </c>
      <c r="J18" s="30">
        <f t="shared" ref="J18" si="11">G18*18%</f>
        <v>91916550</v>
      </c>
      <c r="K18" s="150">
        <f t="shared" ref="K18" si="12">G18+J18</f>
        <v>602564050</v>
      </c>
    </row>
    <row r="19" spans="1:15" s="2" customFormat="1" ht="25.25" customHeight="1" x14ac:dyDescent="0.35">
      <c r="A19" s="267"/>
      <c r="B19" s="268"/>
      <c r="C19" s="269"/>
      <c r="D19" s="64"/>
      <c r="E19" s="64"/>
      <c r="F19" s="64"/>
      <c r="G19" s="64"/>
      <c r="H19" s="64"/>
      <c r="I19" s="64"/>
      <c r="J19" s="64"/>
      <c r="K19" s="109"/>
      <c r="N19" s="2">
        <f>D10*E10</f>
        <v>410360000</v>
      </c>
    </row>
    <row r="20" spans="1:15" s="8" customFormat="1" ht="22" customHeight="1" x14ac:dyDescent="0.4">
      <c r="A20" s="50" t="s">
        <v>33</v>
      </c>
      <c r="B20" s="51" t="s">
        <v>17</v>
      </c>
      <c r="C20" s="56"/>
      <c r="D20" s="57"/>
      <c r="E20" s="57"/>
      <c r="F20" s="57"/>
      <c r="G20" s="57"/>
      <c r="H20" s="57"/>
      <c r="I20" s="57"/>
      <c r="J20" s="57"/>
      <c r="K20" s="177"/>
      <c r="N20" s="8">
        <f>D11*E11</f>
        <v>21000000</v>
      </c>
    </row>
    <row r="21" spans="1:15" s="2" customFormat="1" ht="42" customHeight="1" x14ac:dyDescent="0.35">
      <c r="A21" s="54" t="s">
        <v>34</v>
      </c>
      <c r="B21" s="61" t="s">
        <v>235</v>
      </c>
      <c r="C21" s="80" t="s">
        <v>101</v>
      </c>
      <c r="D21" s="57">
        <v>2886</v>
      </c>
      <c r="E21" s="57">
        <v>90000</v>
      </c>
      <c r="F21" s="57">
        <f t="shared" ref="F21" si="13">E21*77.5%</f>
        <v>69750</v>
      </c>
      <c r="G21" s="57">
        <f>D21*F21</f>
        <v>201298500</v>
      </c>
      <c r="H21" s="176">
        <v>1</v>
      </c>
      <c r="I21" s="152">
        <f t="shared" ref="I21" si="14">G21*H21</f>
        <v>201298500</v>
      </c>
      <c r="J21" s="57">
        <f t="shared" ref="J21" si="15">G21*18%</f>
        <v>36233730</v>
      </c>
      <c r="K21" s="177">
        <f t="shared" ref="K21" si="16">G21+J21</f>
        <v>237532230</v>
      </c>
      <c r="N21" s="2">
        <f>D12*E12</f>
        <v>14000000</v>
      </c>
    </row>
    <row r="22" spans="1:15" s="2" customFormat="1" ht="38" customHeight="1" x14ac:dyDescent="0.35">
      <c r="A22" s="54" t="s">
        <v>35</v>
      </c>
      <c r="B22" s="61" t="s">
        <v>236</v>
      </c>
      <c r="C22" s="56" t="s">
        <v>101</v>
      </c>
      <c r="D22" s="57">
        <v>2886</v>
      </c>
      <c r="E22" s="57">
        <v>30000</v>
      </c>
      <c r="F22" s="57">
        <f t="shared" ref="F22" si="17">E22*77.5%</f>
        <v>23250</v>
      </c>
      <c r="G22" s="57">
        <f>D22*F22</f>
        <v>67099500</v>
      </c>
      <c r="H22" s="176">
        <v>1</v>
      </c>
      <c r="I22" s="152">
        <f t="shared" ref="I22" si="18">G22*H22</f>
        <v>67099500</v>
      </c>
      <c r="J22" s="57">
        <f t="shared" ref="J22" si="19">G22*18%</f>
        <v>12077910</v>
      </c>
      <c r="K22" s="177">
        <f t="shared" ref="K22" si="20">G22+J22</f>
        <v>79177410</v>
      </c>
      <c r="M22" s="20"/>
      <c r="N22" s="2">
        <f>SUM(N19:N21)</f>
        <v>445360000</v>
      </c>
      <c r="O22" s="2">
        <v>445360000</v>
      </c>
    </row>
    <row r="23" spans="1:15" s="2" customFormat="1" ht="20" customHeight="1" x14ac:dyDescent="0.35">
      <c r="A23" s="267" t="s">
        <v>80</v>
      </c>
      <c r="B23" s="268"/>
      <c r="C23" s="269"/>
      <c r="D23" s="83"/>
      <c r="E23" s="57"/>
      <c r="F23" s="57"/>
      <c r="G23" s="83">
        <f>SUM(G21:G22)</f>
        <v>268398000</v>
      </c>
      <c r="H23" s="176"/>
      <c r="I23" s="83">
        <f>SUM(I21:I22)</f>
        <v>268398000</v>
      </c>
      <c r="J23" s="83">
        <f>SUM(J21:J22)</f>
        <v>48311640</v>
      </c>
      <c r="K23" s="138">
        <f>SUM(K21:K22)</f>
        <v>316709640</v>
      </c>
      <c r="O23" s="2">
        <f>N22-O22</f>
        <v>0</v>
      </c>
    </row>
    <row r="24" spans="1:15" s="2" customFormat="1" ht="20" customHeight="1" x14ac:dyDescent="0.35">
      <c r="A24" s="63"/>
      <c r="B24" s="60"/>
      <c r="C24" s="56"/>
      <c r="D24" s="57"/>
      <c r="E24" s="57"/>
      <c r="F24" s="57"/>
      <c r="G24" s="57"/>
      <c r="H24" s="176"/>
      <c r="I24" s="57"/>
      <c r="J24" s="30"/>
      <c r="K24" s="178"/>
      <c r="M24" s="2">
        <f>D11*E11</f>
        <v>21000000</v>
      </c>
      <c r="O24" s="2">
        <f>O23/800</f>
        <v>0</v>
      </c>
    </row>
    <row r="25" spans="1:15" s="2" customFormat="1" ht="20" customHeight="1" x14ac:dyDescent="0.35">
      <c r="A25" s="50" t="s">
        <v>36</v>
      </c>
      <c r="B25" s="51" t="s">
        <v>16</v>
      </c>
      <c r="C25" s="52"/>
      <c r="D25" s="53"/>
      <c r="E25" s="53"/>
      <c r="F25" s="53"/>
      <c r="G25" s="53"/>
      <c r="H25" s="53"/>
      <c r="I25" s="53"/>
      <c r="J25" s="53"/>
      <c r="K25" s="179"/>
      <c r="M25" s="2">
        <f>M24/4000</f>
        <v>5250</v>
      </c>
    </row>
    <row r="26" spans="1:15" s="2" customFormat="1" ht="20" customHeight="1" x14ac:dyDescent="0.35">
      <c r="A26" s="54" t="s">
        <v>37</v>
      </c>
      <c r="B26" s="55" t="s">
        <v>237</v>
      </c>
      <c r="C26" s="56" t="s">
        <v>210</v>
      </c>
      <c r="D26" s="57">
        <v>800</v>
      </c>
      <c r="E26" s="57">
        <v>12500</v>
      </c>
      <c r="F26" s="57">
        <f t="shared" ref="F26" si="21">E26*77.5%</f>
        <v>9687.5</v>
      </c>
      <c r="G26" s="57">
        <f>D26*F26</f>
        <v>7750000</v>
      </c>
      <c r="H26" s="176">
        <v>1</v>
      </c>
      <c r="I26" s="57">
        <f>G26*H26</f>
        <v>7750000</v>
      </c>
      <c r="J26" s="30">
        <f t="shared" ref="J26" si="22">G26*18%</f>
        <v>1395000</v>
      </c>
      <c r="K26" s="150">
        <f>G26+J26</f>
        <v>9145000</v>
      </c>
    </row>
    <row r="27" spans="1:15" s="2" customFormat="1" ht="20" customHeight="1" x14ac:dyDescent="0.35">
      <c r="A27" s="63"/>
      <c r="B27" s="60"/>
      <c r="C27" s="56"/>
      <c r="D27" s="57"/>
      <c r="E27" s="57"/>
      <c r="F27" s="57"/>
      <c r="G27" s="57"/>
      <c r="H27" s="176"/>
      <c r="I27" s="57"/>
      <c r="J27" s="30"/>
      <c r="K27" s="178"/>
    </row>
    <row r="28" spans="1:15" s="2" customFormat="1" ht="20" customHeight="1" x14ac:dyDescent="0.35">
      <c r="A28" s="50" t="s">
        <v>38</v>
      </c>
      <c r="B28" s="51" t="s">
        <v>18</v>
      </c>
      <c r="C28" s="52"/>
      <c r="D28" s="53"/>
      <c r="E28" s="53"/>
      <c r="F28" s="53"/>
      <c r="G28" s="53"/>
      <c r="H28" s="53"/>
      <c r="I28" s="53"/>
      <c r="J28" s="53"/>
      <c r="K28" s="179"/>
    </row>
    <row r="29" spans="1:15" s="2" customFormat="1" ht="36" customHeight="1" x14ac:dyDescent="0.35">
      <c r="A29" s="54" t="s">
        <v>39</v>
      </c>
      <c r="B29" s="61" t="s">
        <v>238</v>
      </c>
      <c r="C29" s="56" t="s">
        <v>211</v>
      </c>
      <c r="D29" s="57">
        <v>510</v>
      </c>
      <c r="E29" s="57">
        <v>9000</v>
      </c>
      <c r="F29" s="57">
        <f t="shared" ref="F29" si="23">E29*77.5%</f>
        <v>6975</v>
      </c>
      <c r="G29" s="57">
        <f t="shared" ref="G29" si="24">D29*F29</f>
        <v>3557250</v>
      </c>
      <c r="H29" s="176">
        <v>1</v>
      </c>
      <c r="I29" s="57">
        <f t="shared" ref="I29" si="25">G29*H29</f>
        <v>3557250</v>
      </c>
      <c r="J29" s="30">
        <f t="shared" ref="J29" si="26">G29*18%</f>
        <v>640305</v>
      </c>
      <c r="K29" s="150">
        <f>G29+J29</f>
        <v>4197555</v>
      </c>
    </row>
    <row r="30" spans="1:15" s="2" customFormat="1" ht="20" customHeight="1" x14ac:dyDescent="0.35">
      <c r="A30" s="63"/>
      <c r="B30" s="62"/>
      <c r="C30" s="56"/>
      <c r="D30" s="57"/>
      <c r="E30" s="57"/>
      <c r="F30" s="57"/>
      <c r="G30" s="57"/>
      <c r="H30" s="176"/>
      <c r="I30" s="57"/>
      <c r="J30" s="57"/>
      <c r="K30" s="138"/>
    </row>
    <row r="31" spans="1:15" s="2" customFormat="1" ht="20" customHeight="1" x14ac:dyDescent="0.35">
      <c r="A31" s="50" t="s">
        <v>40</v>
      </c>
      <c r="B31" s="51" t="s">
        <v>19</v>
      </c>
      <c r="C31" s="52"/>
      <c r="D31" s="53"/>
      <c r="E31" s="53"/>
      <c r="F31" s="53"/>
      <c r="G31" s="53"/>
      <c r="H31" s="53"/>
      <c r="I31" s="53"/>
      <c r="J31" s="53"/>
      <c r="K31" s="179"/>
    </row>
    <row r="32" spans="1:15" s="2" customFormat="1" ht="20" customHeight="1" x14ac:dyDescent="0.35">
      <c r="A32" s="54" t="s">
        <v>41</v>
      </c>
      <c r="B32" s="61" t="s">
        <v>239</v>
      </c>
      <c r="C32" s="56" t="s">
        <v>102</v>
      </c>
      <c r="D32" s="114">
        <v>9257.5</v>
      </c>
      <c r="E32" s="57">
        <v>2000</v>
      </c>
      <c r="F32" s="57">
        <f t="shared" ref="F32" si="27">E32*77.5%</f>
        <v>1550</v>
      </c>
      <c r="G32" s="57">
        <f t="shared" ref="G32" si="28">D32*F32</f>
        <v>14349125</v>
      </c>
      <c r="H32" s="176">
        <v>1</v>
      </c>
      <c r="I32" s="57">
        <f t="shared" ref="I32" si="29">G32*H32</f>
        <v>14349125</v>
      </c>
      <c r="J32" s="30">
        <f t="shared" ref="J32" si="30">G32*18%</f>
        <v>2582842.5</v>
      </c>
      <c r="K32" s="150">
        <f t="shared" ref="K32" si="31">G32+J32</f>
        <v>16931967.5</v>
      </c>
    </row>
    <row r="33" spans="1:15" s="2" customFormat="1" ht="20" customHeight="1" x14ac:dyDescent="0.35">
      <c r="A33" s="50" t="s">
        <v>42</v>
      </c>
      <c r="B33" s="51" t="s">
        <v>7</v>
      </c>
      <c r="C33" s="52"/>
      <c r="D33" s="53"/>
      <c r="E33" s="53"/>
      <c r="F33" s="53"/>
      <c r="G33" s="53"/>
      <c r="H33" s="53"/>
      <c r="I33" s="53"/>
      <c r="J33" s="53"/>
      <c r="K33" s="179"/>
    </row>
    <row r="34" spans="1:15" s="2" customFormat="1" ht="20" customHeight="1" x14ac:dyDescent="0.35">
      <c r="A34" s="54" t="s">
        <v>43</v>
      </c>
      <c r="B34" s="61" t="s">
        <v>240</v>
      </c>
      <c r="C34" s="56" t="s">
        <v>102</v>
      </c>
      <c r="D34" s="57">
        <v>13400</v>
      </c>
      <c r="E34" s="57">
        <v>800</v>
      </c>
      <c r="F34" s="57">
        <f t="shared" ref="F34" si="32">E34*77.5%</f>
        <v>620</v>
      </c>
      <c r="G34" s="57">
        <f t="shared" ref="G34" si="33">D34*F34</f>
        <v>8308000</v>
      </c>
      <c r="H34" s="176">
        <v>1</v>
      </c>
      <c r="I34" s="57">
        <f t="shared" ref="I34" si="34">G34*H34</f>
        <v>8308000</v>
      </c>
      <c r="J34" s="30">
        <f t="shared" ref="J34" si="35">G34*18%</f>
        <v>1495440</v>
      </c>
      <c r="K34" s="150">
        <f t="shared" ref="K34" si="36">G34+J34</f>
        <v>9803440</v>
      </c>
    </row>
    <row r="35" spans="1:15" s="2" customFormat="1" ht="40.75" customHeight="1" x14ac:dyDescent="0.35">
      <c r="A35" s="50" t="s">
        <v>44</v>
      </c>
      <c r="B35" s="81" t="s">
        <v>241</v>
      </c>
      <c r="C35" s="52"/>
      <c r="D35" s="53"/>
      <c r="E35" s="53"/>
      <c r="F35" s="53"/>
      <c r="G35" s="53"/>
      <c r="H35" s="53"/>
      <c r="I35" s="53"/>
      <c r="J35" s="53"/>
      <c r="K35" s="179"/>
    </row>
    <row r="36" spans="1:15" s="2" customFormat="1" ht="20" customHeight="1" x14ac:dyDescent="0.35">
      <c r="A36" s="54" t="s">
        <v>45</v>
      </c>
      <c r="B36" s="62" t="s">
        <v>81</v>
      </c>
      <c r="C36" s="56" t="s">
        <v>98</v>
      </c>
      <c r="D36" s="57">
        <v>1</v>
      </c>
      <c r="E36" s="114">
        <v>900000</v>
      </c>
      <c r="F36" s="114">
        <f>E36*77.5%</f>
        <v>697500</v>
      </c>
      <c r="G36" s="57">
        <f t="shared" ref="G36:G39" si="37">D36*F36</f>
        <v>697500</v>
      </c>
      <c r="H36" s="181">
        <v>1</v>
      </c>
      <c r="I36" s="114">
        <f>G36*H36</f>
        <v>697500</v>
      </c>
      <c r="J36" s="30">
        <f t="shared" ref="J36:J41" si="38">G36*18%</f>
        <v>125550</v>
      </c>
      <c r="K36" s="150">
        <f t="shared" ref="K36:K41" si="39">G36+J36</f>
        <v>823050</v>
      </c>
    </row>
    <row r="37" spans="1:15" s="2" customFormat="1" ht="20" customHeight="1" x14ac:dyDescent="0.35">
      <c r="A37" s="54" t="s">
        <v>46</v>
      </c>
      <c r="B37" s="62" t="s">
        <v>82</v>
      </c>
      <c r="C37" s="56" t="s">
        <v>98</v>
      </c>
      <c r="D37" s="57">
        <v>1</v>
      </c>
      <c r="E37" s="114">
        <v>900000</v>
      </c>
      <c r="F37" s="114">
        <f t="shared" ref="F37:F39" si="40">E37*77.5%</f>
        <v>697500</v>
      </c>
      <c r="G37" s="57">
        <f t="shared" si="37"/>
        <v>697500</v>
      </c>
      <c r="H37" s="181">
        <v>1</v>
      </c>
      <c r="I37" s="114">
        <f t="shared" ref="I37:I39" si="41">G37*H37</f>
        <v>697500</v>
      </c>
      <c r="J37" s="30">
        <f t="shared" si="38"/>
        <v>125550</v>
      </c>
      <c r="K37" s="150">
        <f t="shared" si="39"/>
        <v>823050</v>
      </c>
    </row>
    <row r="38" spans="1:15" s="2" customFormat="1" ht="20" customHeight="1" x14ac:dyDescent="0.35">
      <c r="A38" s="54" t="s">
        <v>47</v>
      </c>
      <c r="B38" s="62" t="s">
        <v>83</v>
      </c>
      <c r="C38" s="56" t="s">
        <v>98</v>
      </c>
      <c r="D38" s="57">
        <v>1</v>
      </c>
      <c r="E38" s="114">
        <v>900000</v>
      </c>
      <c r="F38" s="114">
        <f t="shared" si="40"/>
        <v>697500</v>
      </c>
      <c r="G38" s="57">
        <f t="shared" si="37"/>
        <v>697500</v>
      </c>
      <c r="H38" s="181">
        <v>1</v>
      </c>
      <c r="I38" s="114">
        <f t="shared" si="41"/>
        <v>697500</v>
      </c>
      <c r="J38" s="30">
        <f t="shared" si="38"/>
        <v>125550</v>
      </c>
      <c r="K38" s="150">
        <f t="shared" si="39"/>
        <v>823050</v>
      </c>
    </row>
    <row r="39" spans="1:15" s="2" customFormat="1" ht="20" customHeight="1" x14ac:dyDescent="0.35">
      <c r="A39" s="54" t="s">
        <v>92</v>
      </c>
      <c r="B39" s="62" t="s">
        <v>84</v>
      </c>
      <c r="C39" s="56" t="s">
        <v>98</v>
      </c>
      <c r="D39" s="57">
        <v>1</v>
      </c>
      <c r="E39" s="114">
        <v>900000</v>
      </c>
      <c r="F39" s="114">
        <f t="shared" si="40"/>
        <v>697500</v>
      </c>
      <c r="G39" s="57">
        <f t="shared" si="37"/>
        <v>697500</v>
      </c>
      <c r="H39" s="181">
        <v>1</v>
      </c>
      <c r="I39" s="114">
        <f t="shared" si="41"/>
        <v>697500</v>
      </c>
      <c r="J39" s="30">
        <f t="shared" si="38"/>
        <v>125550</v>
      </c>
      <c r="K39" s="150">
        <f t="shared" si="39"/>
        <v>823050</v>
      </c>
    </row>
    <row r="40" spans="1:15" ht="20" customHeight="1" x14ac:dyDescent="0.35">
      <c r="A40" s="54" t="s">
        <v>140</v>
      </c>
      <c r="B40" s="84" t="s">
        <v>5</v>
      </c>
      <c r="C40" s="56" t="s">
        <v>98</v>
      </c>
      <c r="D40" s="57">
        <v>1</v>
      </c>
      <c r="E40" s="114">
        <v>500000</v>
      </c>
      <c r="F40" s="114">
        <f>E40*77.5%</f>
        <v>387500</v>
      </c>
      <c r="G40" s="57">
        <f>D40*F40</f>
        <v>387500</v>
      </c>
      <c r="H40" s="181">
        <v>1</v>
      </c>
      <c r="I40" s="114">
        <f>G40*H40</f>
        <v>387500</v>
      </c>
      <c r="J40" s="30">
        <f t="shared" si="38"/>
        <v>69750</v>
      </c>
      <c r="K40" s="150">
        <f t="shared" si="39"/>
        <v>457250</v>
      </c>
      <c r="L40" s="24"/>
      <c r="M40" s="23"/>
      <c r="N40" s="23"/>
      <c r="O40" s="32"/>
    </row>
    <row r="41" spans="1:15" ht="20" customHeight="1" x14ac:dyDescent="0.35">
      <c r="A41" s="54" t="s">
        <v>141</v>
      </c>
      <c r="B41" s="84" t="s">
        <v>4</v>
      </c>
      <c r="C41" s="56" t="s">
        <v>98</v>
      </c>
      <c r="D41" s="57">
        <v>1</v>
      </c>
      <c r="E41" s="114">
        <v>300000</v>
      </c>
      <c r="F41" s="114">
        <f>E41*77.5%</f>
        <v>232500</v>
      </c>
      <c r="G41" s="57">
        <f>D41*F41</f>
        <v>232500</v>
      </c>
      <c r="H41" s="181">
        <v>1</v>
      </c>
      <c r="I41" s="114">
        <f>G41*H41</f>
        <v>232500</v>
      </c>
      <c r="J41" s="30">
        <f t="shared" si="38"/>
        <v>41850</v>
      </c>
      <c r="K41" s="150">
        <f t="shared" si="39"/>
        <v>274350</v>
      </c>
      <c r="L41" s="24"/>
      <c r="M41" s="23"/>
      <c r="N41" s="23"/>
      <c r="O41" s="32"/>
    </row>
    <row r="42" spans="1:15" s="98" customFormat="1" ht="20" customHeight="1" x14ac:dyDescent="0.35">
      <c r="A42" s="267" t="s">
        <v>80</v>
      </c>
      <c r="B42" s="268"/>
      <c r="C42" s="269"/>
      <c r="D42" s="83"/>
      <c r="E42" s="83"/>
      <c r="F42" s="83"/>
      <c r="G42" s="83">
        <f>SUM(G36:G41)</f>
        <v>3410000</v>
      </c>
      <c r="H42" s="180"/>
      <c r="I42" s="83">
        <f>SUM(I36:I41)</f>
        <v>3410000</v>
      </c>
      <c r="J42" s="83">
        <f t="shared" ref="J42:K42" si="42">SUM(J36:J41)</f>
        <v>613800</v>
      </c>
      <c r="K42" s="138">
        <f t="shared" si="42"/>
        <v>4023800</v>
      </c>
    </row>
    <row r="43" spans="1:15" s="2" customFormat="1" ht="20" customHeight="1" x14ac:dyDescent="0.35">
      <c r="A43" s="85" t="s">
        <v>142</v>
      </c>
      <c r="B43" s="86"/>
      <c r="C43" s="87"/>
      <c r="D43" s="182"/>
      <c r="E43" s="182"/>
      <c r="F43" s="182"/>
      <c r="G43" s="183">
        <f>G13+G15+G18+G23+G26+G29+G32+G34+G42</f>
        <v>1200285125</v>
      </c>
      <c r="H43" s="183">
        <f t="shared" ref="H43:K43" si="43">H13+H15+H18+H23+H26+H29+H32+H34+H42</f>
        <v>6</v>
      </c>
      <c r="I43" s="183">
        <f t="shared" si="43"/>
        <v>1200285125</v>
      </c>
      <c r="J43" s="183">
        <f t="shared" si="43"/>
        <v>216051322.5</v>
      </c>
      <c r="K43" s="183">
        <f t="shared" si="43"/>
        <v>1416336447.5</v>
      </c>
    </row>
    <row r="44" spans="1:15" s="2" customFormat="1" x14ac:dyDescent="0.35">
      <c r="A44" s="85"/>
      <c r="B44" s="86"/>
      <c r="C44" s="87"/>
      <c r="D44" s="182"/>
      <c r="E44" s="182"/>
      <c r="F44" s="182"/>
      <c r="G44" s="182"/>
      <c r="H44" s="184"/>
      <c r="I44" s="182"/>
      <c r="J44" s="182"/>
      <c r="K44" s="185"/>
    </row>
    <row r="45" spans="1:15" s="2" customFormat="1" ht="24" customHeight="1" thickBot="1" x14ac:dyDescent="0.4">
      <c r="A45" s="270" t="s">
        <v>120</v>
      </c>
      <c r="B45" s="271"/>
      <c r="C45" s="271"/>
      <c r="D45" s="271"/>
      <c r="E45" s="271"/>
      <c r="F45" s="271"/>
      <c r="G45" s="271"/>
      <c r="H45" s="271"/>
      <c r="I45" s="271"/>
      <c r="J45" s="271"/>
      <c r="K45" s="272"/>
      <c r="N45" s="21"/>
      <c r="O45" s="149"/>
    </row>
    <row r="46" spans="1:15" s="8" customFormat="1" ht="22" customHeight="1" x14ac:dyDescent="0.4">
      <c r="A46" s="35" t="s">
        <v>93</v>
      </c>
      <c r="B46" s="36" t="s">
        <v>13</v>
      </c>
      <c r="C46" s="37"/>
      <c r="D46" s="38"/>
      <c r="E46" s="37"/>
      <c r="F46" s="37"/>
      <c r="G46" s="37"/>
      <c r="H46" s="37"/>
      <c r="I46" s="37"/>
      <c r="J46" s="37"/>
      <c r="K46" s="134"/>
    </row>
    <row r="47" spans="1:15" ht="20" customHeight="1" x14ac:dyDescent="0.35">
      <c r="A47" s="40" t="s">
        <v>94</v>
      </c>
      <c r="B47" s="19" t="s">
        <v>212</v>
      </c>
      <c r="C47" s="29" t="s">
        <v>100</v>
      </c>
      <c r="D47" s="30">
        <v>18300</v>
      </c>
      <c r="E47" s="30">
        <v>800</v>
      </c>
      <c r="F47" s="30">
        <f>ROUND(E47*77.5%,2)</f>
        <v>620</v>
      </c>
      <c r="G47" s="30">
        <f>ROUND(D47*F47,2)</f>
        <v>11346000</v>
      </c>
      <c r="H47" s="11">
        <v>1</v>
      </c>
      <c r="I47" s="12">
        <f>G47*H47</f>
        <v>11346000</v>
      </c>
      <c r="J47" s="29">
        <f>ROUND(G47*18%,2)</f>
        <v>2042280</v>
      </c>
      <c r="K47" s="135">
        <f t="shared" ref="K47" si="44">G47+J47</f>
        <v>13388280</v>
      </c>
      <c r="L47" s="143"/>
    </row>
    <row r="48" spans="1:15" s="2" customFormat="1" ht="17.5" x14ac:dyDescent="0.35">
      <c r="A48" s="41" t="s">
        <v>121</v>
      </c>
      <c r="B48" s="264" t="s">
        <v>14</v>
      </c>
      <c r="C48" s="265"/>
      <c r="D48" s="265"/>
      <c r="E48" s="265"/>
      <c r="F48" s="265"/>
      <c r="G48" s="265"/>
      <c r="H48" s="265"/>
      <c r="I48" s="265"/>
      <c r="J48" s="265"/>
      <c r="K48" s="266"/>
    </row>
    <row r="49" spans="1:15" s="2" customFormat="1" ht="20" customHeight="1" x14ac:dyDescent="0.35">
      <c r="A49" s="34" t="s">
        <v>122</v>
      </c>
      <c r="B49" s="19" t="s">
        <v>213</v>
      </c>
      <c r="C49" s="29" t="s">
        <v>100</v>
      </c>
      <c r="D49" s="30">
        <v>170</v>
      </c>
      <c r="E49" s="30">
        <v>15000</v>
      </c>
      <c r="F49" s="30">
        <f>ROUND(E49*77.5%,2)</f>
        <v>11625</v>
      </c>
      <c r="G49" s="30">
        <f>ROUND(D49*F49,2)</f>
        <v>1976250</v>
      </c>
      <c r="H49" s="11">
        <v>1</v>
      </c>
      <c r="I49" s="12">
        <f>G49*H49</f>
        <v>1976250</v>
      </c>
      <c r="J49" s="30">
        <f>ROUND(G49*18%,2)</f>
        <v>355725</v>
      </c>
      <c r="K49" s="150">
        <f>G49+J49</f>
        <v>2331975</v>
      </c>
      <c r="L49" s="149"/>
      <c r="O49" s="21"/>
    </row>
    <row r="50" spans="1:15" s="8" customFormat="1" ht="22" customHeight="1" x14ac:dyDescent="0.4">
      <c r="A50" s="50" t="s">
        <v>123</v>
      </c>
      <c r="B50" s="51" t="s">
        <v>15</v>
      </c>
      <c r="C50" s="52"/>
      <c r="D50" s="53"/>
      <c r="E50" s="52"/>
      <c r="F50" s="52"/>
      <c r="G50" s="52"/>
      <c r="H50" s="52"/>
      <c r="I50" s="52"/>
      <c r="J50" s="52"/>
      <c r="K50" s="136"/>
    </row>
    <row r="51" spans="1:15" s="2" customFormat="1" ht="20" customHeight="1" x14ac:dyDescent="0.35">
      <c r="A51" s="54" t="s">
        <v>124</v>
      </c>
      <c r="B51" s="19" t="s">
        <v>214</v>
      </c>
      <c r="C51" s="56" t="s">
        <v>100</v>
      </c>
      <c r="D51" s="56">
        <v>1040</v>
      </c>
      <c r="E51" s="56">
        <v>27500</v>
      </c>
      <c r="F51" s="56">
        <f>E51*77.5%</f>
        <v>21312.5</v>
      </c>
      <c r="G51" s="56">
        <f>D51*F51</f>
        <v>22165000</v>
      </c>
      <c r="H51" s="58">
        <v>1</v>
      </c>
      <c r="I51" s="12">
        <f>G51*H51</f>
        <v>22165000</v>
      </c>
      <c r="J51" s="29">
        <f t="shared" ref="J51" si="45">G51*18%</f>
        <v>3989700</v>
      </c>
      <c r="K51" s="135">
        <f>G51+J51</f>
        <v>26154700</v>
      </c>
    </row>
    <row r="52" spans="1:15" s="8" customFormat="1" ht="26.5" customHeight="1" x14ac:dyDescent="0.4">
      <c r="A52" s="50" t="s">
        <v>125</v>
      </c>
      <c r="B52" s="51" t="s">
        <v>17</v>
      </c>
      <c r="C52" s="56"/>
      <c r="D52" s="57"/>
      <c r="E52" s="56"/>
      <c r="F52" s="56"/>
      <c r="G52" s="56"/>
      <c r="H52" s="56"/>
      <c r="I52" s="56"/>
      <c r="J52" s="56"/>
      <c r="K52" s="137"/>
    </row>
    <row r="53" spans="1:15" s="2" customFormat="1" ht="20" customHeight="1" x14ac:dyDescent="0.35">
      <c r="A53" s="54" t="s">
        <v>174</v>
      </c>
      <c r="B53" s="60" t="s">
        <v>216</v>
      </c>
      <c r="C53" s="56" t="s">
        <v>101</v>
      </c>
      <c r="D53" s="56">
        <v>114</v>
      </c>
      <c r="E53" s="56">
        <v>90000</v>
      </c>
      <c r="F53" s="56">
        <f>E53*77.5%</f>
        <v>69750</v>
      </c>
      <c r="G53" s="56">
        <f>F53*D53</f>
        <v>7951500</v>
      </c>
      <c r="H53" s="58">
        <v>1</v>
      </c>
      <c r="I53" s="12">
        <f t="shared" ref="I53:I54" si="46">G53*H53</f>
        <v>7951500</v>
      </c>
      <c r="J53" s="29">
        <f t="shared" ref="J53:J54" si="47">G53*18%</f>
        <v>1431270</v>
      </c>
      <c r="K53" s="135">
        <f t="shared" ref="K53:K54" si="48">G53+J53</f>
        <v>9382770</v>
      </c>
      <c r="L53" s="2">
        <v>4185000</v>
      </c>
      <c r="M53" s="21" t="e">
        <f>L53/#REF!</f>
        <v>#REF!</v>
      </c>
      <c r="N53" s="140" t="e">
        <f>M53/77.5%</f>
        <v>#REF!</v>
      </c>
    </row>
    <row r="54" spans="1:15" s="2" customFormat="1" ht="20" customHeight="1" x14ac:dyDescent="0.35">
      <c r="A54" s="54" t="s">
        <v>175</v>
      </c>
      <c r="B54" s="60" t="s">
        <v>215</v>
      </c>
      <c r="C54" s="56" t="s">
        <v>101</v>
      </c>
      <c r="D54" s="56">
        <v>114</v>
      </c>
      <c r="E54" s="56">
        <v>30000</v>
      </c>
      <c r="F54" s="56">
        <f t="shared" ref="F54" si="49">E54*77.5%</f>
        <v>23250</v>
      </c>
      <c r="G54" s="56">
        <f t="shared" ref="G54" si="50">F54*D54</f>
        <v>2650500</v>
      </c>
      <c r="H54" s="58">
        <v>1</v>
      </c>
      <c r="I54" s="12">
        <f t="shared" si="46"/>
        <v>2650500</v>
      </c>
      <c r="J54" s="29">
        <f t="shared" si="47"/>
        <v>477090</v>
      </c>
      <c r="K54" s="135">
        <f t="shared" si="48"/>
        <v>3127590</v>
      </c>
      <c r="L54" s="2">
        <v>1116000</v>
      </c>
      <c r="M54" s="20" t="e">
        <f>L54/#REF!</f>
        <v>#REF!</v>
      </c>
      <c r="N54" s="140" t="e">
        <f t="shared" ref="N54" si="51">M54/77.5%</f>
        <v>#REF!</v>
      </c>
    </row>
    <row r="55" spans="1:15" s="2" customFormat="1" ht="20" customHeight="1" x14ac:dyDescent="0.35">
      <c r="A55" s="267" t="s">
        <v>80</v>
      </c>
      <c r="B55" s="268"/>
      <c r="C55" s="269"/>
      <c r="D55" s="80"/>
      <c r="E55" s="55"/>
      <c r="F55" s="55"/>
      <c r="G55" s="83">
        <f>SUM(G53:G54)</f>
        <v>10602000</v>
      </c>
      <c r="H55" s="55"/>
      <c r="I55" s="83">
        <f>SUM(I53:I54)</f>
        <v>10602000</v>
      </c>
      <c r="J55" s="83">
        <f>SUM(J53:J54)</f>
        <v>1908360</v>
      </c>
      <c r="K55" s="138">
        <f>SUM(K53:K54)</f>
        <v>12510360</v>
      </c>
    </row>
    <row r="56" spans="1:15" s="2" customFormat="1" ht="20" customHeight="1" x14ac:dyDescent="0.35">
      <c r="A56" s="63"/>
      <c r="B56" s="55"/>
      <c r="C56" s="55"/>
      <c r="D56" s="83"/>
      <c r="E56" s="55"/>
      <c r="F56" s="55"/>
      <c r="G56" s="55"/>
      <c r="H56" s="55"/>
      <c r="I56" s="115"/>
      <c r="J56" s="115"/>
      <c r="K56" s="138"/>
    </row>
    <row r="57" spans="1:15" s="22" customFormat="1" ht="19.75" customHeight="1" x14ac:dyDescent="0.35">
      <c r="A57" s="50" t="s">
        <v>126</v>
      </c>
      <c r="B57" s="51" t="s">
        <v>16</v>
      </c>
      <c r="C57" s="52"/>
      <c r="D57" s="53"/>
      <c r="E57" s="52"/>
      <c r="F57" s="52"/>
      <c r="G57" s="52"/>
      <c r="H57" s="52"/>
      <c r="I57" s="52"/>
      <c r="J57" s="52"/>
      <c r="K57" s="136"/>
      <c r="M57" s="186" t="e">
        <f>#REF!+#REF!+#REF!+#REF!+#REF!</f>
        <v>#REF!</v>
      </c>
    </row>
    <row r="58" spans="1:15" s="2" customFormat="1" ht="20" customHeight="1" x14ac:dyDescent="0.35">
      <c r="A58" s="54" t="s">
        <v>127</v>
      </c>
      <c r="B58" s="84" t="s">
        <v>217</v>
      </c>
      <c r="C58" s="56" t="s">
        <v>100</v>
      </c>
      <c r="D58" s="56">
        <v>400</v>
      </c>
      <c r="E58" s="56">
        <v>12500</v>
      </c>
      <c r="F58" s="56">
        <f t="shared" ref="F58" si="52">E58*77.5%</f>
        <v>9687.5</v>
      </c>
      <c r="G58" s="56">
        <f t="shared" ref="G58" si="53">D58*F58</f>
        <v>3875000</v>
      </c>
      <c r="H58" s="58">
        <v>1</v>
      </c>
      <c r="I58" s="56">
        <f t="shared" ref="I58" si="54">G58*H58</f>
        <v>3875000</v>
      </c>
      <c r="J58" s="29">
        <f t="shared" ref="J58" si="55">G58*18%</f>
        <v>697500</v>
      </c>
      <c r="K58" s="135">
        <f>G58+J58</f>
        <v>4572500</v>
      </c>
    </row>
    <row r="59" spans="1:15" s="22" customFormat="1" ht="20" customHeight="1" x14ac:dyDescent="0.35">
      <c r="A59" s="50" t="s">
        <v>128</v>
      </c>
      <c r="B59" s="51" t="s">
        <v>18</v>
      </c>
      <c r="C59" s="52"/>
      <c r="D59" s="53"/>
      <c r="E59" s="52"/>
      <c r="F59" s="52"/>
      <c r="G59" s="52"/>
      <c r="H59" s="52"/>
      <c r="I59" s="52"/>
      <c r="J59" s="52"/>
      <c r="K59" s="136"/>
    </row>
    <row r="60" spans="1:15" s="2" customFormat="1" ht="20" customHeight="1" x14ac:dyDescent="0.35">
      <c r="A60" s="54" t="s">
        <v>129</v>
      </c>
      <c r="B60" s="187" t="s">
        <v>218</v>
      </c>
      <c r="C60" s="56" t="s">
        <v>102</v>
      </c>
      <c r="D60" s="56">
        <v>190</v>
      </c>
      <c r="E60" s="56">
        <v>9000</v>
      </c>
      <c r="F60" s="56">
        <f t="shared" ref="F60" si="56">E60*77.5%</f>
        <v>6975</v>
      </c>
      <c r="G60" s="56">
        <f t="shared" ref="G60" si="57">D60*F60</f>
        <v>1325250</v>
      </c>
      <c r="H60" s="58">
        <v>1</v>
      </c>
      <c r="I60" s="56">
        <f t="shared" ref="I60" si="58">G60*H60</f>
        <v>1325250</v>
      </c>
      <c r="J60" s="29">
        <f t="shared" ref="J60" si="59">G60*18%</f>
        <v>238545</v>
      </c>
      <c r="K60" s="135">
        <f>G60+J60</f>
        <v>1563795</v>
      </c>
    </row>
    <row r="61" spans="1:15" s="8" customFormat="1" ht="22" customHeight="1" x14ac:dyDescent="0.4">
      <c r="A61" s="50" t="s">
        <v>130</v>
      </c>
      <c r="B61" s="51" t="s">
        <v>19</v>
      </c>
      <c r="C61" s="52"/>
      <c r="D61" s="53"/>
      <c r="E61" s="52"/>
      <c r="F61" s="52"/>
      <c r="G61" s="52"/>
      <c r="H61" s="52"/>
      <c r="I61" s="52"/>
      <c r="J61" s="52"/>
      <c r="K61" s="136"/>
    </row>
    <row r="62" spans="1:15" s="21" customFormat="1" ht="20" customHeight="1" x14ac:dyDescent="0.35">
      <c r="A62" s="54" t="s">
        <v>131</v>
      </c>
      <c r="B62" s="187" t="s">
        <v>219</v>
      </c>
      <c r="C62" s="56" t="s">
        <v>102</v>
      </c>
      <c r="D62" s="114">
        <v>742.5</v>
      </c>
      <c r="E62" s="56">
        <v>2000</v>
      </c>
      <c r="F62" s="56">
        <f t="shared" ref="F62" si="60">E62*77.5%</f>
        <v>1550</v>
      </c>
      <c r="G62" s="56">
        <f t="shared" ref="G62" si="61">D62*F62</f>
        <v>1150875</v>
      </c>
      <c r="H62" s="58">
        <v>1</v>
      </c>
      <c r="I62" s="56">
        <f t="shared" ref="I62" si="62">G62*H62</f>
        <v>1150875</v>
      </c>
      <c r="J62" s="29">
        <f t="shared" ref="J62" si="63">G62*18%</f>
        <v>207157.5</v>
      </c>
      <c r="K62" s="135">
        <f>G62+J62</f>
        <v>1358032.5</v>
      </c>
      <c r="L62" s="2"/>
      <c r="M62" s="2"/>
      <c r="N62" s="2"/>
    </row>
    <row r="63" spans="1:15" s="8" customFormat="1" ht="22" customHeight="1" x14ac:dyDescent="0.4">
      <c r="A63" s="50" t="s">
        <v>132</v>
      </c>
      <c r="B63" s="51" t="s">
        <v>7</v>
      </c>
      <c r="C63" s="52"/>
      <c r="D63" s="53"/>
      <c r="E63" s="52"/>
      <c r="F63" s="52"/>
      <c r="G63" s="52"/>
      <c r="H63" s="52"/>
      <c r="I63" s="52"/>
      <c r="J63" s="52"/>
      <c r="K63" s="136"/>
    </row>
    <row r="64" spans="1:15" ht="20" customHeight="1" x14ac:dyDescent="0.35">
      <c r="A64" s="54" t="s">
        <v>133</v>
      </c>
      <c r="B64" s="187" t="s">
        <v>242</v>
      </c>
      <c r="C64" s="56" t="s">
        <v>102</v>
      </c>
      <c r="D64" s="57">
        <v>7850</v>
      </c>
      <c r="E64" s="56">
        <v>800</v>
      </c>
      <c r="F64" s="56">
        <f t="shared" ref="F64" si="64">E64*77.5%</f>
        <v>620</v>
      </c>
      <c r="G64" s="56">
        <f t="shared" ref="G64" si="65">D64*F64</f>
        <v>4867000</v>
      </c>
      <c r="H64" s="58">
        <v>1</v>
      </c>
      <c r="I64" s="56">
        <f t="shared" ref="I64" si="66">G64*H64</f>
        <v>4867000</v>
      </c>
      <c r="J64" s="29">
        <f t="shared" ref="J64" si="67">G64*18%</f>
        <v>876060</v>
      </c>
      <c r="K64" s="135">
        <f>G64+J64</f>
        <v>5743060</v>
      </c>
    </row>
    <row r="65" spans="1:15" s="8" customFormat="1" ht="45.5" customHeight="1" x14ac:dyDescent="0.4">
      <c r="A65" s="50" t="s">
        <v>134</v>
      </c>
      <c r="B65" s="81" t="s">
        <v>243</v>
      </c>
      <c r="C65" s="52"/>
      <c r="D65" s="53"/>
      <c r="E65" s="52"/>
      <c r="F65" s="52"/>
      <c r="G65" s="52"/>
      <c r="H65" s="52"/>
      <c r="I65" s="52"/>
      <c r="J65" s="52"/>
      <c r="K65" s="136"/>
    </row>
    <row r="66" spans="1:15" s="8" customFormat="1" ht="18" x14ac:dyDescent="0.4">
      <c r="A66" s="34" t="s">
        <v>135</v>
      </c>
      <c r="B66" s="19" t="s">
        <v>1</v>
      </c>
      <c r="C66" s="29" t="s">
        <v>98</v>
      </c>
      <c r="D66" s="30">
        <v>1</v>
      </c>
      <c r="E66" s="13">
        <v>1200000</v>
      </c>
      <c r="F66" s="59">
        <f t="shared" ref="F66:F68" si="68">E66*77.5%</f>
        <v>930000</v>
      </c>
      <c r="G66" s="59">
        <f>F66*D66</f>
        <v>930000</v>
      </c>
      <c r="H66" s="78">
        <v>1</v>
      </c>
      <c r="I66" s="59">
        <f t="shared" ref="I66" si="69">G66*H66</f>
        <v>930000</v>
      </c>
      <c r="J66" s="29">
        <f t="shared" ref="J66:J68" si="70">G66*18%</f>
        <v>167400</v>
      </c>
      <c r="K66" s="135">
        <f>G66+J66</f>
        <v>1097400</v>
      </c>
    </row>
    <row r="67" spans="1:15" ht="20" customHeight="1" x14ac:dyDescent="0.35">
      <c r="A67" s="34" t="s">
        <v>136</v>
      </c>
      <c r="B67" s="84" t="s">
        <v>2</v>
      </c>
      <c r="C67" s="56" t="s">
        <v>98</v>
      </c>
      <c r="D67" s="57">
        <v>1</v>
      </c>
      <c r="E67" s="59">
        <v>1000000</v>
      </c>
      <c r="F67" s="59">
        <f t="shared" si="68"/>
        <v>775000</v>
      </c>
      <c r="G67" s="56">
        <f t="shared" ref="G67:G68" si="71">D67*F67</f>
        <v>775000</v>
      </c>
      <c r="H67" s="78">
        <v>1</v>
      </c>
      <c r="I67" s="59">
        <f t="shared" ref="I67:I68" si="72">G67*H67</f>
        <v>775000</v>
      </c>
      <c r="J67" s="29">
        <f t="shared" si="70"/>
        <v>139500</v>
      </c>
      <c r="K67" s="135">
        <f>G67+J67</f>
        <v>914500</v>
      </c>
      <c r="L67" s="24"/>
      <c r="M67" s="23"/>
      <c r="N67" s="23"/>
      <c r="O67" s="32"/>
    </row>
    <row r="68" spans="1:15" ht="20" customHeight="1" x14ac:dyDescent="0.35">
      <c r="A68" s="34" t="s">
        <v>137</v>
      </c>
      <c r="B68" s="84" t="s">
        <v>3</v>
      </c>
      <c r="C68" s="56" t="s">
        <v>98</v>
      </c>
      <c r="D68" s="57">
        <v>1</v>
      </c>
      <c r="E68" s="59">
        <v>100000</v>
      </c>
      <c r="F68" s="59">
        <f t="shared" si="68"/>
        <v>77500</v>
      </c>
      <c r="G68" s="56">
        <f t="shared" si="71"/>
        <v>77500</v>
      </c>
      <c r="H68" s="78">
        <v>1</v>
      </c>
      <c r="I68" s="59">
        <f t="shared" si="72"/>
        <v>77500</v>
      </c>
      <c r="J68" s="29">
        <f t="shared" si="70"/>
        <v>13950</v>
      </c>
      <c r="K68" s="135">
        <f>G68+J68</f>
        <v>91450</v>
      </c>
      <c r="L68" s="24"/>
      <c r="M68" s="23"/>
      <c r="N68" s="23"/>
      <c r="O68" s="32"/>
    </row>
    <row r="69" spans="1:15" ht="20" customHeight="1" x14ac:dyDescent="0.35">
      <c r="A69" s="267" t="s">
        <v>80</v>
      </c>
      <c r="B69" s="268"/>
      <c r="C69" s="269"/>
      <c r="D69" s="67"/>
      <c r="E69" s="67"/>
      <c r="F69" s="67"/>
      <c r="G69" s="116">
        <f>SUM(G66:G68)</f>
        <v>1782500</v>
      </c>
      <c r="H69" s="67"/>
      <c r="I69" s="116">
        <f>SUM(I66:I68)</f>
        <v>1782500</v>
      </c>
      <c r="J69" s="116">
        <f t="shared" ref="J69:K69" si="73">SUM(J66:J68)</f>
        <v>320850</v>
      </c>
      <c r="K69" s="116">
        <f t="shared" si="73"/>
        <v>2103350</v>
      </c>
    </row>
    <row r="70" spans="1:15" s="8" customFormat="1" ht="22" customHeight="1" x14ac:dyDescent="0.4">
      <c r="A70" s="50" t="s">
        <v>138</v>
      </c>
      <c r="B70" s="51" t="s">
        <v>20</v>
      </c>
      <c r="C70" s="52"/>
      <c r="D70" s="53"/>
      <c r="E70" s="52"/>
      <c r="F70" s="52"/>
      <c r="G70" s="52"/>
      <c r="H70" s="52"/>
      <c r="I70" s="52"/>
      <c r="J70" s="52"/>
      <c r="K70" s="136"/>
      <c r="L70" s="25"/>
      <c r="M70" s="25"/>
      <c r="N70" s="25"/>
      <c r="O70" s="25"/>
    </row>
    <row r="71" spans="1:15" ht="34.25" customHeight="1" x14ac:dyDescent="0.35">
      <c r="A71" s="66" t="s">
        <v>139</v>
      </c>
      <c r="B71" s="127" t="s">
        <v>208</v>
      </c>
      <c r="C71" s="80" t="s">
        <v>102</v>
      </c>
      <c r="D71" s="80">
        <v>5000</v>
      </c>
      <c r="E71" s="56"/>
      <c r="F71" s="59">
        <f t="shared" ref="F71:F74" si="74">E71*77.5%</f>
        <v>0</v>
      </c>
      <c r="G71" s="56">
        <f t="shared" ref="G71" si="75">D71*F71</f>
        <v>0</v>
      </c>
      <c r="H71" s="78"/>
      <c r="I71" s="59"/>
      <c r="J71" s="59"/>
      <c r="K71" s="139"/>
    </row>
    <row r="72" spans="1:15" ht="20" customHeight="1" x14ac:dyDescent="0.35">
      <c r="A72" s="54" t="s">
        <v>176</v>
      </c>
      <c r="B72" s="68" t="s">
        <v>96</v>
      </c>
      <c r="C72" s="56" t="s">
        <v>102</v>
      </c>
      <c r="D72" s="56">
        <v>5000</v>
      </c>
      <c r="E72" s="56">
        <v>1800</v>
      </c>
      <c r="F72" s="59">
        <f t="shared" si="74"/>
        <v>1395</v>
      </c>
      <c r="G72" s="10">
        <f>F72*D72</f>
        <v>6975000</v>
      </c>
      <c r="H72" s="78">
        <v>1</v>
      </c>
      <c r="I72" s="59">
        <f t="shared" ref="I72:I84" si="76">G72*H72</f>
        <v>6975000</v>
      </c>
      <c r="J72" s="29">
        <f t="shared" ref="J72:J84" si="77">G72*18%</f>
        <v>1255500</v>
      </c>
      <c r="K72" s="135">
        <f t="shared" ref="K72:K84" si="78">G72+J72</f>
        <v>8230500</v>
      </c>
      <c r="L72" s="4">
        <f>I72/D71</f>
        <v>1395</v>
      </c>
      <c r="M72" s="4">
        <f>L72/77.5%</f>
        <v>1800</v>
      </c>
    </row>
    <row r="73" spans="1:15" ht="20" customHeight="1" x14ac:dyDescent="0.35">
      <c r="A73" s="54" t="s">
        <v>177</v>
      </c>
      <c r="B73" s="60" t="s">
        <v>9</v>
      </c>
      <c r="C73" s="56" t="s">
        <v>102</v>
      </c>
      <c r="D73" s="56">
        <v>5000</v>
      </c>
      <c r="E73" s="56">
        <v>1800</v>
      </c>
      <c r="F73" s="59">
        <f t="shared" si="74"/>
        <v>1395</v>
      </c>
      <c r="G73" s="10">
        <f t="shared" ref="G73:G74" si="79">F73*D73</f>
        <v>6975000</v>
      </c>
      <c r="H73" s="78">
        <v>1</v>
      </c>
      <c r="I73" s="59">
        <f t="shared" si="76"/>
        <v>6975000</v>
      </c>
      <c r="J73" s="29">
        <f t="shared" si="77"/>
        <v>1255500</v>
      </c>
      <c r="K73" s="135">
        <f t="shared" si="78"/>
        <v>8230500</v>
      </c>
      <c r="L73" s="4">
        <f>I73/D71</f>
        <v>1395</v>
      </c>
      <c r="M73" s="4">
        <f t="shared" ref="M73:M79" si="80">L73/77.5%</f>
        <v>1800</v>
      </c>
    </row>
    <row r="74" spans="1:15" ht="20" customHeight="1" x14ac:dyDescent="0.35">
      <c r="A74" s="54" t="s">
        <v>178</v>
      </c>
      <c r="B74" s="60" t="s">
        <v>11</v>
      </c>
      <c r="C74" s="56" t="s">
        <v>102</v>
      </c>
      <c r="D74" s="56">
        <v>5000</v>
      </c>
      <c r="E74" s="56">
        <v>2400</v>
      </c>
      <c r="F74" s="59">
        <f t="shared" si="74"/>
        <v>1860</v>
      </c>
      <c r="G74" s="10">
        <f t="shared" si="79"/>
        <v>9300000</v>
      </c>
      <c r="H74" s="78">
        <v>1</v>
      </c>
      <c r="I74" s="59">
        <f t="shared" si="76"/>
        <v>9300000</v>
      </c>
      <c r="J74" s="29">
        <f t="shared" si="77"/>
        <v>1674000</v>
      </c>
      <c r="K74" s="135">
        <f t="shared" si="78"/>
        <v>10974000</v>
      </c>
      <c r="L74" s="4">
        <f>I74/D71</f>
        <v>1860</v>
      </c>
      <c r="M74" s="4">
        <f t="shared" si="80"/>
        <v>2400</v>
      </c>
    </row>
    <row r="75" spans="1:15" ht="32.5" customHeight="1" x14ac:dyDescent="0.35">
      <c r="A75" s="66" t="s">
        <v>140</v>
      </c>
      <c r="B75" s="65" t="s">
        <v>207</v>
      </c>
      <c r="C75" s="80" t="s">
        <v>102</v>
      </c>
      <c r="D75" s="80">
        <v>20000</v>
      </c>
      <c r="E75" s="56"/>
      <c r="F75" s="59">
        <f t="shared" ref="F75:F79" si="81">E75*77.5%</f>
        <v>0</v>
      </c>
      <c r="G75" s="56">
        <f t="shared" ref="G75" si="82">D75*F75</f>
        <v>0</v>
      </c>
      <c r="H75" s="56"/>
      <c r="I75" s="56"/>
      <c r="J75" s="29">
        <f t="shared" si="77"/>
        <v>0</v>
      </c>
      <c r="K75" s="135">
        <f t="shared" si="78"/>
        <v>0</v>
      </c>
    </row>
    <row r="76" spans="1:15" ht="20" customHeight="1" x14ac:dyDescent="0.35">
      <c r="A76" s="54" t="s">
        <v>179</v>
      </c>
      <c r="B76" s="60" t="s">
        <v>8</v>
      </c>
      <c r="C76" s="56" t="s">
        <v>102</v>
      </c>
      <c r="D76" s="56">
        <v>20000</v>
      </c>
      <c r="E76" s="56">
        <v>1250</v>
      </c>
      <c r="F76" s="59">
        <f t="shared" si="81"/>
        <v>968.75</v>
      </c>
      <c r="G76" s="10">
        <f t="shared" ref="G76:G79" si="83">F76*D76</f>
        <v>19375000</v>
      </c>
      <c r="H76" s="78">
        <v>1</v>
      </c>
      <c r="I76" s="59">
        <f t="shared" si="76"/>
        <v>19375000</v>
      </c>
      <c r="J76" s="29">
        <f t="shared" si="77"/>
        <v>3487500</v>
      </c>
      <c r="K76" s="135">
        <f t="shared" si="78"/>
        <v>22862500</v>
      </c>
      <c r="L76" s="4">
        <f>I76/D75</f>
        <v>968.75</v>
      </c>
      <c r="M76" s="141">
        <f t="shared" si="80"/>
        <v>1250</v>
      </c>
    </row>
    <row r="77" spans="1:15" ht="20" customHeight="1" x14ac:dyDescent="0.35">
      <c r="A77" s="54" t="s">
        <v>180</v>
      </c>
      <c r="B77" s="60" t="s">
        <v>9</v>
      </c>
      <c r="C77" s="56" t="s">
        <v>102</v>
      </c>
      <c r="D77" s="56">
        <v>20000</v>
      </c>
      <c r="E77" s="56">
        <v>1250</v>
      </c>
      <c r="F77" s="59">
        <f t="shared" si="81"/>
        <v>968.75</v>
      </c>
      <c r="G77" s="10">
        <f t="shared" si="83"/>
        <v>19375000</v>
      </c>
      <c r="H77" s="78">
        <v>1</v>
      </c>
      <c r="I77" s="59">
        <f t="shared" si="76"/>
        <v>19375000</v>
      </c>
      <c r="J77" s="29">
        <f t="shared" si="77"/>
        <v>3487500</v>
      </c>
      <c r="K77" s="135">
        <f t="shared" si="78"/>
        <v>22862500</v>
      </c>
      <c r="L77" s="4">
        <f>I77/D75</f>
        <v>968.75</v>
      </c>
      <c r="M77" s="141">
        <f t="shared" si="80"/>
        <v>1250</v>
      </c>
    </row>
    <row r="78" spans="1:15" ht="20" customHeight="1" x14ac:dyDescent="0.35">
      <c r="A78" s="54" t="s">
        <v>181</v>
      </c>
      <c r="B78" s="60" t="s">
        <v>10</v>
      </c>
      <c r="C78" s="56" t="s">
        <v>102</v>
      </c>
      <c r="D78" s="56">
        <v>20000</v>
      </c>
      <c r="E78" s="56">
        <v>1750</v>
      </c>
      <c r="F78" s="59">
        <f t="shared" si="81"/>
        <v>1356.25</v>
      </c>
      <c r="G78" s="10">
        <f t="shared" si="83"/>
        <v>27125000</v>
      </c>
      <c r="H78" s="78">
        <v>1</v>
      </c>
      <c r="I78" s="59">
        <f t="shared" si="76"/>
        <v>27125000</v>
      </c>
      <c r="J78" s="29">
        <f t="shared" si="77"/>
        <v>4882500</v>
      </c>
      <c r="K78" s="135">
        <f t="shared" si="78"/>
        <v>32007500</v>
      </c>
      <c r="L78" s="4">
        <f>I78/D75</f>
        <v>1356.25</v>
      </c>
      <c r="M78" s="141">
        <f t="shared" si="80"/>
        <v>1750</v>
      </c>
    </row>
    <row r="79" spans="1:15" ht="20" customHeight="1" x14ac:dyDescent="0.35">
      <c r="A79" s="54" t="s">
        <v>182</v>
      </c>
      <c r="B79" s="60" t="s">
        <v>87</v>
      </c>
      <c r="C79" s="56" t="s">
        <v>102</v>
      </c>
      <c r="D79" s="56">
        <v>20000</v>
      </c>
      <c r="E79" s="56">
        <v>750</v>
      </c>
      <c r="F79" s="59">
        <f t="shared" si="81"/>
        <v>581.25</v>
      </c>
      <c r="G79" s="10">
        <f t="shared" si="83"/>
        <v>11625000</v>
      </c>
      <c r="H79" s="78">
        <v>1</v>
      </c>
      <c r="I79" s="59">
        <f t="shared" si="76"/>
        <v>11625000</v>
      </c>
      <c r="J79" s="29">
        <f t="shared" si="77"/>
        <v>2092500</v>
      </c>
      <c r="K79" s="135">
        <f t="shared" si="78"/>
        <v>13717500</v>
      </c>
      <c r="L79" s="4">
        <f>I79/D75</f>
        <v>581.25</v>
      </c>
      <c r="M79" s="141">
        <f t="shared" si="80"/>
        <v>750</v>
      </c>
    </row>
    <row r="80" spans="1:15" ht="20" customHeight="1" x14ac:dyDescent="0.35">
      <c r="A80" s="54" t="s">
        <v>141</v>
      </c>
      <c r="B80" s="65" t="s">
        <v>206</v>
      </c>
      <c r="C80" s="142" t="s">
        <v>108</v>
      </c>
      <c r="D80" s="80">
        <v>2500</v>
      </c>
      <c r="E80" s="56"/>
      <c r="F80" s="59"/>
      <c r="G80" s="56"/>
      <c r="H80" s="56"/>
      <c r="I80" s="56"/>
      <c r="J80" s="29">
        <f t="shared" si="77"/>
        <v>0</v>
      </c>
      <c r="K80" s="135">
        <f t="shared" si="78"/>
        <v>0</v>
      </c>
    </row>
    <row r="81" spans="1:14" ht="20" customHeight="1" x14ac:dyDescent="0.35">
      <c r="A81" s="54" t="s">
        <v>183</v>
      </c>
      <c r="B81" s="60" t="s">
        <v>89</v>
      </c>
      <c r="C81" s="69" t="s">
        <v>108</v>
      </c>
      <c r="D81" s="56">
        <v>2500</v>
      </c>
      <c r="E81" s="56">
        <v>2000</v>
      </c>
      <c r="F81" s="59">
        <f t="shared" ref="F81:F84" si="84">E81*77.5%</f>
        <v>1550</v>
      </c>
      <c r="G81" s="56">
        <f t="shared" ref="G81:G84" si="85">D81*F81</f>
        <v>3875000</v>
      </c>
      <c r="H81" s="78">
        <v>1</v>
      </c>
      <c r="I81" s="59">
        <f t="shared" si="76"/>
        <v>3875000</v>
      </c>
      <c r="J81" s="29">
        <f t="shared" si="77"/>
        <v>697500</v>
      </c>
      <c r="K81" s="135">
        <f t="shared" si="78"/>
        <v>4572500</v>
      </c>
      <c r="L81" s="4">
        <v>3875000</v>
      </c>
      <c r="M81" s="4">
        <f>L81/2500</f>
        <v>1550</v>
      </c>
      <c r="N81" s="4">
        <f>M81/77.5%</f>
        <v>2000</v>
      </c>
    </row>
    <row r="82" spans="1:14" ht="20" customHeight="1" x14ac:dyDescent="0.35">
      <c r="A82" s="54" t="s">
        <v>184</v>
      </c>
      <c r="B82" s="60" t="s">
        <v>90</v>
      </c>
      <c r="C82" s="69" t="s">
        <v>108</v>
      </c>
      <c r="D82" s="56">
        <v>2500</v>
      </c>
      <c r="E82" s="56">
        <v>800</v>
      </c>
      <c r="F82" s="59">
        <f t="shared" si="84"/>
        <v>620</v>
      </c>
      <c r="G82" s="56">
        <f t="shared" si="85"/>
        <v>1550000</v>
      </c>
      <c r="H82" s="78">
        <v>1</v>
      </c>
      <c r="I82" s="59">
        <f t="shared" si="76"/>
        <v>1550000</v>
      </c>
      <c r="J82" s="29">
        <f t="shared" si="77"/>
        <v>279000</v>
      </c>
      <c r="K82" s="135">
        <f t="shared" si="78"/>
        <v>1829000</v>
      </c>
      <c r="L82" s="4">
        <v>1550000</v>
      </c>
      <c r="M82" s="4">
        <f t="shared" ref="M82:M84" si="86">L82/2500</f>
        <v>620</v>
      </c>
      <c r="N82" s="4">
        <f t="shared" ref="N82:N84" si="87">M82/77.5%</f>
        <v>800</v>
      </c>
    </row>
    <row r="83" spans="1:14" ht="20" customHeight="1" x14ac:dyDescent="0.35">
      <c r="A83" s="54" t="s">
        <v>185</v>
      </c>
      <c r="B83" s="60" t="s">
        <v>91</v>
      </c>
      <c r="C83" s="69" t="s">
        <v>108</v>
      </c>
      <c r="D83" s="56">
        <v>2500</v>
      </c>
      <c r="E83" s="56">
        <v>4000</v>
      </c>
      <c r="F83" s="59">
        <f t="shared" si="84"/>
        <v>3100</v>
      </c>
      <c r="G83" s="56">
        <f t="shared" si="85"/>
        <v>7750000</v>
      </c>
      <c r="H83" s="78">
        <v>1</v>
      </c>
      <c r="I83" s="59">
        <f t="shared" si="76"/>
        <v>7750000</v>
      </c>
      <c r="J83" s="29">
        <f t="shared" si="77"/>
        <v>1395000</v>
      </c>
      <c r="K83" s="135">
        <f t="shared" si="78"/>
        <v>9145000</v>
      </c>
      <c r="L83" s="4">
        <v>7750000</v>
      </c>
      <c r="M83" s="4">
        <f t="shared" si="86"/>
        <v>3100</v>
      </c>
      <c r="N83" s="4">
        <f t="shared" si="87"/>
        <v>4000</v>
      </c>
    </row>
    <row r="84" spans="1:14" ht="20" customHeight="1" x14ac:dyDescent="0.35">
      <c r="A84" s="54" t="s">
        <v>186</v>
      </c>
      <c r="B84" s="60" t="s">
        <v>103</v>
      </c>
      <c r="C84" s="69" t="s">
        <v>108</v>
      </c>
      <c r="D84" s="56">
        <v>2500</v>
      </c>
      <c r="E84" s="56">
        <v>1200</v>
      </c>
      <c r="F84" s="59">
        <f t="shared" si="84"/>
        <v>930</v>
      </c>
      <c r="G84" s="56">
        <f t="shared" si="85"/>
        <v>2325000</v>
      </c>
      <c r="H84" s="78">
        <v>1</v>
      </c>
      <c r="I84" s="59">
        <f t="shared" si="76"/>
        <v>2325000</v>
      </c>
      <c r="J84" s="29">
        <f t="shared" si="77"/>
        <v>418500</v>
      </c>
      <c r="K84" s="135">
        <f t="shared" si="78"/>
        <v>2743500</v>
      </c>
      <c r="L84" s="4">
        <v>2325000</v>
      </c>
      <c r="M84" s="4">
        <f t="shared" si="86"/>
        <v>930</v>
      </c>
      <c r="N84" s="4">
        <f t="shared" si="87"/>
        <v>1200</v>
      </c>
    </row>
    <row r="85" spans="1:14" ht="24" customHeight="1" thickBot="1" x14ac:dyDescent="0.4">
      <c r="A85" s="88" t="s">
        <v>189</v>
      </c>
      <c r="B85" s="89"/>
      <c r="C85" s="89"/>
      <c r="D85" s="89"/>
      <c r="E85" s="89"/>
      <c r="F85" s="89"/>
      <c r="G85" s="119">
        <f>G84+G83+G82+G81+G79+G78+G77+G76+G74+G73+G72+G69+G64+G62+G60+G58+G55+G51+G49+G47</f>
        <v>175339875</v>
      </c>
      <c r="H85" s="119">
        <f t="shared" ref="H85:K85" si="88">H84+H83+H82+H81+H79+H78+H77+H76+H74+H73+H72+H69+H64+H62+H60+H58+H55+H51+H49+H47</f>
        <v>18</v>
      </c>
      <c r="I85" s="119">
        <f t="shared" si="88"/>
        <v>175339875</v>
      </c>
      <c r="J85" s="119">
        <f t="shared" si="88"/>
        <v>31561177.5</v>
      </c>
      <c r="K85" s="119">
        <f t="shared" si="88"/>
        <v>206901052.5</v>
      </c>
    </row>
    <row r="86" spans="1:14" ht="34.75" customHeight="1" thickBot="1" x14ac:dyDescent="0.4">
      <c r="A86" s="117" t="s">
        <v>143</v>
      </c>
      <c r="B86" s="118"/>
      <c r="C86" s="118"/>
      <c r="D86" s="118"/>
      <c r="E86" s="118"/>
      <c r="F86" s="118"/>
      <c r="G86" s="120">
        <f>G43+G85</f>
        <v>1375625000</v>
      </c>
      <c r="H86" s="118"/>
      <c r="I86" s="120">
        <f>I43+I85</f>
        <v>1375625000</v>
      </c>
      <c r="J86" s="121">
        <f>J43+J85</f>
        <v>247612500</v>
      </c>
      <c r="K86" s="121">
        <f>K43+K85</f>
        <v>1623237500</v>
      </c>
    </row>
    <row r="87" spans="1:14" ht="30" customHeight="1" thickBot="1" x14ac:dyDescent="0.4">
      <c r="A87" s="261" t="s">
        <v>54</v>
      </c>
      <c r="B87" s="262"/>
      <c r="C87" s="262"/>
      <c r="D87" s="262"/>
      <c r="E87" s="262"/>
      <c r="F87" s="262"/>
      <c r="G87" s="262"/>
      <c r="H87" s="262"/>
      <c r="I87" s="262"/>
      <c r="J87" s="262"/>
      <c r="K87" s="263"/>
    </row>
    <row r="88" spans="1:14" ht="33" customHeight="1" x14ac:dyDescent="0.35">
      <c r="A88" s="110" t="s">
        <v>53</v>
      </c>
      <c r="B88" s="225" t="s">
        <v>49</v>
      </c>
      <c r="C88" s="225"/>
      <c r="D88" s="225"/>
      <c r="E88" s="225"/>
      <c r="F88" s="225"/>
      <c r="G88" s="225"/>
      <c r="H88" s="225"/>
      <c r="I88" s="225"/>
      <c r="J88" s="225"/>
      <c r="K88" s="226"/>
      <c r="M88" s="148"/>
    </row>
    <row r="89" spans="1:14" ht="35.5" customHeight="1" x14ac:dyDescent="0.35">
      <c r="A89" s="70" t="s">
        <v>50</v>
      </c>
      <c r="B89" s="227" t="s">
        <v>22</v>
      </c>
      <c r="C89" s="227"/>
      <c r="D89" s="227"/>
      <c r="E89" s="227"/>
      <c r="F89" s="227"/>
      <c r="G89" s="227"/>
      <c r="H89" s="227"/>
      <c r="I89" s="227"/>
      <c r="J89" s="227"/>
      <c r="K89" s="228"/>
    </row>
    <row r="90" spans="1:14" ht="37.5" customHeight="1" x14ac:dyDescent="0.35">
      <c r="A90" s="70" t="s">
        <v>51</v>
      </c>
      <c r="B90" s="227" t="s">
        <v>52</v>
      </c>
      <c r="C90" s="227"/>
      <c r="D90" s="227"/>
      <c r="E90" s="227"/>
      <c r="F90" s="227"/>
      <c r="G90" s="227"/>
      <c r="H90" s="227"/>
      <c r="I90" s="227"/>
      <c r="J90" s="227"/>
      <c r="K90" s="228"/>
    </row>
    <row r="91" spans="1:14" ht="27.5" customHeight="1" x14ac:dyDescent="0.35">
      <c r="A91" s="54" t="s">
        <v>78</v>
      </c>
      <c r="B91" s="229" t="s">
        <v>97</v>
      </c>
      <c r="C91" s="229"/>
      <c r="D91" s="229"/>
      <c r="E91" s="229"/>
      <c r="F91" s="229"/>
      <c r="G91" s="229"/>
      <c r="H91" s="229"/>
      <c r="I91" s="229"/>
      <c r="J91" s="229"/>
      <c r="K91" s="230"/>
    </row>
    <row r="92" spans="1:14" ht="43.75" customHeight="1" x14ac:dyDescent="0.35">
      <c r="A92" s="54" t="s">
        <v>79</v>
      </c>
      <c r="B92" s="234" t="s">
        <v>191</v>
      </c>
      <c r="C92" s="234"/>
      <c r="D92" s="234"/>
      <c r="E92" s="234"/>
      <c r="F92" s="234"/>
      <c r="G92" s="234"/>
      <c r="H92" s="234"/>
      <c r="I92" s="234"/>
      <c r="J92" s="234"/>
      <c r="K92" s="235"/>
    </row>
    <row r="93" spans="1:14" ht="40.5" customHeight="1" x14ac:dyDescent="0.35">
      <c r="A93" s="54" t="s">
        <v>86</v>
      </c>
      <c r="B93" s="212" t="s">
        <v>195</v>
      </c>
      <c r="C93" s="212"/>
      <c r="D93" s="212"/>
      <c r="E93" s="212"/>
      <c r="F93" s="212"/>
      <c r="G93" s="212"/>
      <c r="H93" s="212"/>
      <c r="I93" s="212"/>
      <c r="J93" s="212"/>
      <c r="K93" s="213"/>
    </row>
    <row r="94" spans="1:14" ht="32.5" customHeight="1" thickBot="1" x14ac:dyDescent="0.4">
      <c r="A94" s="111" t="s">
        <v>119</v>
      </c>
      <c r="B94" s="214" t="s">
        <v>190</v>
      </c>
      <c r="C94" s="214"/>
      <c r="D94" s="214"/>
      <c r="E94" s="214"/>
      <c r="F94" s="214"/>
      <c r="G94" s="214"/>
      <c r="H94" s="214"/>
      <c r="I94" s="214"/>
      <c r="J94" s="214"/>
      <c r="K94" s="215"/>
    </row>
    <row r="95" spans="1:14" x14ac:dyDescent="0.35">
      <c r="A95" s="49"/>
      <c r="B95" s="71"/>
      <c r="C95" s="72"/>
      <c r="D95" s="73"/>
      <c r="E95" s="72"/>
      <c r="F95" s="72"/>
      <c r="G95" s="72"/>
      <c r="H95" s="72"/>
      <c r="I95" s="72"/>
      <c r="J95" s="72"/>
      <c r="K95" s="72"/>
    </row>
  </sheetData>
  <mergeCells count="27">
    <mergeCell ref="A87:K87"/>
    <mergeCell ref="B14:K14"/>
    <mergeCell ref="A42:C42"/>
    <mergeCell ref="A55:C55"/>
    <mergeCell ref="A69:C69"/>
    <mergeCell ref="B48:K48"/>
    <mergeCell ref="A45:K45"/>
    <mergeCell ref="A19:C19"/>
    <mergeCell ref="A23:C23"/>
    <mergeCell ref="B94:K94"/>
    <mergeCell ref="B89:K89"/>
    <mergeCell ref="B90:K90"/>
    <mergeCell ref="B91:K91"/>
    <mergeCell ref="B88:K88"/>
    <mergeCell ref="B92:K92"/>
    <mergeCell ref="B93:K93"/>
    <mergeCell ref="N9:O9"/>
    <mergeCell ref="P9:Q9"/>
    <mergeCell ref="R9:S9"/>
    <mergeCell ref="A13:C13"/>
    <mergeCell ref="A16:C16"/>
    <mergeCell ref="A8:K8"/>
    <mergeCell ref="A1:K1"/>
    <mergeCell ref="A3:K3"/>
    <mergeCell ref="A2:K2"/>
    <mergeCell ref="A4:K4"/>
    <mergeCell ref="A7:K7"/>
  </mergeCells>
  <phoneticPr fontId="4" type="noConversion"/>
  <printOptions horizontalCentered="1"/>
  <pageMargins left="0.27559055118110237" right="0.27559055118110237" top="0.35433070866141736" bottom="0.35433070866141736" header="0" footer="0"/>
  <pageSetup paperSize="9" scale="70" fitToHeight="120" orientation="landscape" r:id="rId1"/>
  <headerFooter>
    <oddFooter>Page &amp;P of &amp;N</oddFooter>
  </headerFooter>
  <rowBreaks count="3" manualBreakCount="3">
    <brk id="56" max="10" man="1"/>
    <brk id="68" max="10" man="1"/>
    <brk id="86" max="1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8FE4C-333C-4F81-B1A9-F9CA87BE30D3}">
  <dimension ref="A1:Y100"/>
  <sheetViews>
    <sheetView topLeftCell="A30" zoomScale="67" zoomScaleNormal="133" zoomScaleSheetLayoutView="98" workbookViewId="0">
      <selection activeCell="K13" sqref="K13"/>
    </sheetView>
  </sheetViews>
  <sheetFormatPr defaultColWidth="8.81640625" defaultRowHeight="15.5" x14ac:dyDescent="0.35"/>
  <cols>
    <col min="1" max="1" width="12.1796875" style="4" customWidth="1"/>
    <col min="2" max="2" width="57" style="4" bestFit="1" customWidth="1"/>
    <col min="3" max="3" width="11" style="4" bestFit="1" customWidth="1"/>
    <col min="4" max="4" width="11.6328125" style="4" bestFit="1" customWidth="1"/>
    <col min="5" max="5" width="14.81640625" style="4" bestFit="1" customWidth="1"/>
    <col min="6" max="6" width="18.6328125" style="4" customWidth="1"/>
    <col min="7" max="7" width="21.6328125" style="4" customWidth="1"/>
    <col min="8" max="8" width="12.1796875" style="4" hidden="1" customWidth="1"/>
    <col min="9" max="9" width="22.1796875" style="4" hidden="1" customWidth="1"/>
    <col min="10" max="10" width="20.36328125" style="4" bestFit="1" customWidth="1"/>
    <col min="11" max="11" width="22.81640625" style="4" customWidth="1"/>
    <col min="12" max="14" width="20.453125" style="4" customWidth="1"/>
    <col min="15" max="15" width="16.36328125" style="4" customWidth="1"/>
    <col min="16" max="16" width="15.36328125" style="4" customWidth="1"/>
    <col min="17" max="17" width="16.6328125" style="4" customWidth="1"/>
    <col min="18" max="18" width="11.1796875" style="4" bestFit="1" customWidth="1"/>
    <col min="19" max="19" width="16.36328125" style="4" bestFit="1" customWidth="1"/>
    <col min="20" max="20" width="14.81640625" style="4" customWidth="1"/>
    <col min="21" max="21" width="17" style="4" customWidth="1"/>
    <col min="22" max="22" width="8.81640625" style="4"/>
    <col min="23" max="23" width="17.36328125" style="4" customWidth="1"/>
    <col min="24" max="24" width="18.81640625" style="4" customWidth="1"/>
    <col min="25" max="16384" width="8.81640625" style="4"/>
  </cols>
  <sheetData>
    <row r="1" spans="1:25" s="2" customFormat="1" ht="24" customHeight="1" x14ac:dyDescent="0.35">
      <c r="A1" s="236" t="s">
        <v>188</v>
      </c>
      <c r="B1" s="236"/>
      <c r="C1" s="236"/>
      <c r="D1" s="236"/>
      <c r="E1" s="236"/>
      <c r="F1" s="236"/>
      <c r="G1" s="236"/>
      <c r="H1" s="236"/>
      <c r="I1" s="236"/>
      <c r="J1" s="236"/>
      <c r="K1" s="236"/>
      <c r="L1" s="98"/>
      <c r="M1" s="98"/>
      <c r="N1" s="98"/>
    </row>
    <row r="2" spans="1:25" s="2" customFormat="1" ht="18.5" customHeight="1" x14ac:dyDescent="0.35">
      <c r="A2" s="237" t="s">
        <v>106</v>
      </c>
      <c r="B2" s="237"/>
      <c r="C2" s="237"/>
      <c r="D2" s="237"/>
      <c r="E2" s="237"/>
      <c r="F2" s="237"/>
      <c r="G2" s="237"/>
      <c r="H2" s="237"/>
      <c r="I2" s="237"/>
      <c r="J2" s="237"/>
      <c r="K2" s="237"/>
    </row>
    <row r="3" spans="1:25" ht="60" customHeight="1" x14ac:dyDescent="0.35">
      <c r="A3" s="238" t="s">
        <v>187</v>
      </c>
      <c r="B3" s="238"/>
      <c r="C3" s="238"/>
      <c r="D3" s="238"/>
      <c r="E3" s="238"/>
      <c r="F3" s="238"/>
      <c r="G3" s="238"/>
      <c r="H3" s="238"/>
      <c r="I3" s="238"/>
      <c r="J3" s="238"/>
      <c r="K3" s="238"/>
      <c r="L3" s="132"/>
      <c r="M3" s="132"/>
      <c r="N3" s="132"/>
    </row>
    <row r="4" spans="1:25" ht="23.5" customHeight="1" thickBot="1" x14ac:dyDescent="0.4">
      <c r="A4" s="239" t="s">
        <v>55</v>
      </c>
      <c r="B4" s="239"/>
      <c r="C4" s="239"/>
      <c r="D4" s="239"/>
      <c r="E4" s="239"/>
      <c r="F4" s="239"/>
      <c r="G4" s="239"/>
      <c r="H4" s="239"/>
      <c r="I4" s="239"/>
      <c r="J4" s="239"/>
      <c r="K4" s="239"/>
      <c r="L4" s="98"/>
      <c r="M4" s="98"/>
      <c r="N4" s="98"/>
    </row>
    <row r="5" spans="1:25" s="5" customFormat="1" ht="43.25" customHeight="1" thickBot="1" x14ac:dyDescent="0.4">
      <c r="A5" s="46" t="s">
        <v>12</v>
      </c>
      <c r="B5" s="47" t="s">
        <v>0</v>
      </c>
      <c r="C5" s="48" t="s">
        <v>99</v>
      </c>
      <c r="D5" s="48" t="s">
        <v>109</v>
      </c>
      <c r="E5" s="48" t="s">
        <v>112</v>
      </c>
      <c r="F5" s="48" t="s">
        <v>110</v>
      </c>
      <c r="G5" s="48" t="s">
        <v>111</v>
      </c>
      <c r="H5" s="47" t="s">
        <v>24</v>
      </c>
      <c r="I5" s="48" t="s">
        <v>113</v>
      </c>
      <c r="J5" s="47" t="s">
        <v>21</v>
      </c>
      <c r="K5" s="48" t="s">
        <v>114</v>
      </c>
      <c r="L5" s="44"/>
      <c r="M5" s="44"/>
      <c r="N5" s="44"/>
    </row>
    <row r="6" spans="1:25" s="5" customFormat="1" ht="16" thickBot="1" x14ac:dyDescent="0.4">
      <c r="A6" s="91">
        <v>1</v>
      </c>
      <c r="B6" s="92">
        <v>2</v>
      </c>
      <c r="C6" s="92">
        <v>3</v>
      </c>
      <c r="D6" s="92">
        <v>4</v>
      </c>
      <c r="E6" s="92">
        <v>5</v>
      </c>
      <c r="F6" s="94" t="s">
        <v>115</v>
      </c>
      <c r="G6" s="94" t="s">
        <v>116</v>
      </c>
      <c r="H6" s="94" t="s">
        <v>117</v>
      </c>
      <c r="I6" s="94" t="s">
        <v>118</v>
      </c>
      <c r="J6" s="93" t="s">
        <v>196</v>
      </c>
      <c r="K6" s="93" t="s">
        <v>202</v>
      </c>
      <c r="L6" s="44"/>
      <c r="M6" s="44"/>
      <c r="N6" s="44"/>
    </row>
    <row r="7" spans="1:25" s="5" customFormat="1" ht="36" customHeight="1" x14ac:dyDescent="0.35">
      <c r="A7" s="279" t="s">
        <v>76</v>
      </c>
      <c r="B7" s="280"/>
      <c r="C7" s="280"/>
      <c r="D7" s="280"/>
      <c r="E7" s="280"/>
      <c r="F7" s="280"/>
      <c r="G7" s="280"/>
      <c r="H7" s="280"/>
      <c r="I7" s="280"/>
      <c r="J7" s="280"/>
      <c r="K7" s="281"/>
      <c r="L7" s="44"/>
      <c r="M7" s="44"/>
      <c r="N7" s="44"/>
    </row>
    <row r="8" spans="1:25" s="5" customFormat="1" ht="24" customHeight="1" thickBot="1" x14ac:dyDescent="0.4">
      <c r="A8" s="250" t="s">
        <v>194</v>
      </c>
      <c r="B8" s="251"/>
      <c r="C8" s="251"/>
      <c r="D8" s="251"/>
      <c r="E8" s="251"/>
      <c r="F8" s="251"/>
      <c r="G8" s="251"/>
      <c r="H8" s="251"/>
      <c r="I8" s="251"/>
      <c r="J8" s="251"/>
      <c r="K8" s="252"/>
      <c r="L8" s="44"/>
      <c r="M8" s="44"/>
      <c r="N8" s="44"/>
    </row>
    <row r="9" spans="1:25" ht="24" customHeight="1" x14ac:dyDescent="0.35">
      <c r="A9" s="42" t="s">
        <v>56</v>
      </c>
      <c r="B9" s="6" t="s">
        <v>13</v>
      </c>
      <c r="C9" s="95"/>
      <c r="D9" s="95"/>
      <c r="E9" s="95"/>
      <c r="F9" s="95"/>
      <c r="G9" s="95"/>
      <c r="H9" s="95"/>
      <c r="I9" s="95"/>
      <c r="J9" s="95"/>
      <c r="K9" s="101"/>
      <c r="L9" s="3"/>
      <c r="M9" s="3"/>
      <c r="N9" s="3"/>
    </row>
    <row r="10" spans="1:25" ht="20" customHeight="1" x14ac:dyDescent="0.35">
      <c r="A10" s="34" t="s">
        <v>57</v>
      </c>
      <c r="B10" s="19" t="s">
        <v>220</v>
      </c>
      <c r="C10" s="29" t="s">
        <v>100</v>
      </c>
      <c r="D10" s="152">
        <f>468500-33375</f>
        <v>435125</v>
      </c>
      <c r="E10" s="30">
        <v>800</v>
      </c>
      <c r="F10" s="97">
        <f>ROUND(E10*77.5%,2)</f>
        <v>620</v>
      </c>
      <c r="G10" s="153">
        <f>ROUND(D10*F10,2)</f>
        <v>269777500</v>
      </c>
      <c r="H10" s="154">
        <v>1</v>
      </c>
      <c r="I10" s="97">
        <f>G10*H10</f>
        <v>269777500</v>
      </c>
      <c r="J10" s="97">
        <f>ROUND(G10*18%,2)</f>
        <v>48559950</v>
      </c>
      <c r="K10" s="102">
        <f>G10+J10</f>
        <v>318337450</v>
      </c>
      <c r="L10" s="143">
        <f>D10*E10</f>
        <v>348100000</v>
      </c>
      <c r="M10" s="143"/>
      <c r="N10" s="143"/>
      <c r="P10" s="14"/>
      <c r="Q10" s="148"/>
    </row>
    <row r="11" spans="1:25" ht="20" customHeight="1" x14ac:dyDescent="0.35">
      <c r="A11" s="34" t="s">
        <v>58</v>
      </c>
      <c r="B11" s="131" t="s">
        <v>104</v>
      </c>
      <c r="C11" s="29" t="s">
        <v>105</v>
      </c>
      <c r="D11" s="152">
        <v>1</v>
      </c>
      <c r="E11" s="152">
        <v>15000000</v>
      </c>
      <c r="F11" s="97">
        <f t="shared" ref="F11:F12" si="0">E11*77.5%</f>
        <v>11625000</v>
      </c>
      <c r="G11" s="153">
        <f t="shared" ref="G11:G12" si="1">ROUND(D11*F11,2)</f>
        <v>11625000</v>
      </c>
      <c r="H11" s="154">
        <v>1</v>
      </c>
      <c r="I11" s="97">
        <f t="shared" ref="I11:I12" si="2">G11*H11</f>
        <v>11625000</v>
      </c>
      <c r="J11" s="97">
        <f t="shared" ref="J11:J12" si="3">ROUND(G11*18%,2)</f>
        <v>2092500</v>
      </c>
      <c r="K11" s="102">
        <f t="shared" ref="K11:K12" si="4">G11+J11</f>
        <v>13717500</v>
      </c>
      <c r="L11" s="143">
        <f t="shared" ref="L11:L12" si="5">D11*E11</f>
        <v>15000000</v>
      </c>
      <c r="M11" s="143"/>
      <c r="N11" s="143"/>
      <c r="P11" s="23"/>
      <c r="Q11" s="23"/>
      <c r="R11" s="23"/>
      <c r="S11" s="23"/>
      <c r="T11" s="23"/>
      <c r="U11" s="23"/>
      <c r="W11" s="23"/>
      <c r="X11" s="23"/>
      <c r="Y11" s="23"/>
    </row>
    <row r="12" spans="1:25" ht="20" customHeight="1" x14ac:dyDescent="0.35">
      <c r="A12" s="34" t="s">
        <v>59</v>
      </c>
      <c r="B12" s="131" t="s">
        <v>107</v>
      </c>
      <c r="C12" s="29" t="s">
        <v>100</v>
      </c>
      <c r="D12" s="152">
        <v>117000</v>
      </c>
      <c r="E12" s="30">
        <v>100</v>
      </c>
      <c r="F12" s="97">
        <f t="shared" si="0"/>
        <v>77.5</v>
      </c>
      <c r="G12" s="153">
        <f t="shared" si="1"/>
        <v>9067500</v>
      </c>
      <c r="H12" s="154">
        <v>1</v>
      </c>
      <c r="I12" s="97">
        <f t="shared" si="2"/>
        <v>9067500</v>
      </c>
      <c r="J12" s="97">
        <f t="shared" si="3"/>
        <v>1632150</v>
      </c>
      <c r="K12" s="102">
        <f t="shared" si="4"/>
        <v>10699650</v>
      </c>
      <c r="L12" s="143">
        <f t="shared" si="5"/>
        <v>11700000</v>
      </c>
      <c r="M12" s="143"/>
      <c r="N12" s="143"/>
      <c r="W12" s="23"/>
      <c r="X12" s="23"/>
      <c r="Y12" s="23"/>
    </row>
    <row r="13" spans="1:25" ht="22.5" customHeight="1" x14ac:dyDescent="0.35">
      <c r="A13" s="273" t="s">
        <v>85</v>
      </c>
      <c r="B13" s="274"/>
      <c r="C13" s="275"/>
      <c r="D13" s="45">
        <f>SUM(D10:D10)</f>
        <v>435125</v>
      </c>
      <c r="E13" s="45"/>
      <c r="F13" s="97"/>
      <c r="G13" s="45">
        <f>SUM(G10:G12)</f>
        <v>290470000</v>
      </c>
      <c r="H13" s="45"/>
      <c r="I13" s="45">
        <f>SUM(I10:I12)</f>
        <v>290470000</v>
      </c>
      <c r="J13" s="45">
        <f>SUM(J10:J12)</f>
        <v>52284600</v>
      </c>
      <c r="K13" s="103">
        <f>SUM(K10:K12)</f>
        <v>342754600</v>
      </c>
      <c r="L13" s="143">
        <f>SUM(L10:L12)</f>
        <v>374800000</v>
      </c>
      <c r="M13" s="143">
        <v>374800000</v>
      </c>
      <c r="N13" s="143"/>
      <c r="O13" s="14"/>
      <c r="W13" s="23"/>
      <c r="X13" s="23"/>
      <c r="Y13" s="23"/>
    </row>
    <row r="14" spans="1:25" ht="22.5" customHeight="1" x14ac:dyDescent="0.35">
      <c r="A14" s="43"/>
      <c r="B14" s="9"/>
      <c r="C14" s="9"/>
      <c r="D14" s="45"/>
      <c r="E14" s="45"/>
      <c r="F14" s="97"/>
      <c r="G14" s="153"/>
      <c r="H14" s="45"/>
      <c r="I14" s="97"/>
      <c r="J14" s="97"/>
      <c r="K14" s="102"/>
      <c r="M14" s="143">
        <f>L13-M13</f>
        <v>0</v>
      </c>
      <c r="W14" s="23"/>
      <c r="X14" s="23"/>
      <c r="Y14" s="23"/>
    </row>
    <row r="15" spans="1:25" ht="24" customHeight="1" x14ac:dyDescent="0.35">
      <c r="A15" s="42" t="s">
        <v>60</v>
      </c>
      <c r="B15" s="6" t="s">
        <v>14</v>
      </c>
      <c r="C15" s="1"/>
      <c r="D15" s="155"/>
      <c r="E15" s="156"/>
      <c r="F15" s="157"/>
      <c r="G15" s="158"/>
      <c r="H15" s="159"/>
      <c r="I15" s="157"/>
      <c r="J15" s="157"/>
      <c r="K15" s="160"/>
      <c r="L15" s="3"/>
      <c r="M15" s="3">
        <f>M14/800</f>
        <v>0</v>
      </c>
      <c r="N15" s="3"/>
      <c r="W15" s="23"/>
      <c r="X15" s="23"/>
      <c r="Y15" s="23"/>
    </row>
    <row r="16" spans="1:25" s="2" customFormat="1" ht="20" customHeight="1" x14ac:dyDescent="0.35">
      <c r="A16" s="34" t="s">
        <v>61</v>
      </c>
      <c r="B16" s="19" t="s">
        <v>221</v>
      </c>
      <c r="C16" s="29" t="s">
        <v>100</v>
      </c>
      <c r="D16" s="152">
        <v>2830</v>
      </c>
      <c r="E16" s="30">
        <v>15000</v>
      </c>
      <c r="F16" s="97">
        <f t="shared" ref="F16" si="6">E16*77.5%</f>
        <v>11625</v>
      </c>
      <c r="G16" s="153">
        <f t="shared" ref="G16" si="7">D16*F16</f>
        <v>32898750</v>
      </c>
      <c r="H16" s="154">
        <v>1</v>
      </c>
      <c r="I16" s="97">
        <f t="shared" ref="I16" si="8">G16*H16</f>
        <v>32898750</v>
      </c>
      <c r="J16" s="97">
        <f t="shared" ref="J16" si="9">G16*18%</f>
        <v>5921775</v>
      </c>
      <c r="K16" s="102">
        <f t="shared" ref="K16" si="10">G16+J16</f>
        <v>38820525</v>
      </c>
      <c r="W16" s="23"/>
      <c r="X16" s="23"/>
      <c r="Y16" s="23"/>
    </row>
    <row r="17" spans="1:15" ht="24" customHeight="1" x14ac:dyDescent="0.35">
      <c r="A17" s="42" t="s">
        <v>62</v>
      </c>
      <c r="B17" s="6" t="s">
        <v>15</v>
      </c>
      <c r="C17" s="1"/>
      <c r="D17" s="155"/>
      <c r="E17" s="156"/>
      <c r="F17" s="157"/>
      <c r="G17" s="158"/>
      <c r="H17" s="159"/>
      <c r="I17" s="157"/>
      <c r="J17" s="157"/>
      <c r="K17" s="160"/>
      <c r="L17" s="3"/>
      <c r="M17" s="3"/>
      <c r="N17" s="3"/>
    </row>
    <row r="18" spans="1:15" ht="20" customHeight="1" x14ac:dyDescent="0.35">
      <c r="A18" s="34" t="s">
        <v>63</v>
      </c>
      <c r="B18" s="19" t="s">
        <v>222</v>
      </c>
      <c r="C18" s="29" t="s">
        <v>210</v>
      </c>
      <c r="D18" s="152">
        <v>22960</v>
      </c>
      <c r="E18" s="30">
        <v>27500</v>
      </c>
      <c r="F18" s="163">
        <f>E18*77.5%</f>
        <v>21312.5</v>
      </c>
      <c r="G18" s="153">
        <f>F18*D18</f>
        <v>489335000</v>
      </c>
      <c r="H18" s="162">
        <v>1</v>
      </c>
      <c r="I18" s="97">
        <f t="shared" ref="I18" si="11">G18*H18</f>
        <v>489335000</v>
      </c>
      <c r="J18" s="97">
        <f t="shared" ref="J18" si="12">G18*18%</f>
        <v>88080300</v>
      </c>
      <c r="K18" s="102">
        <f t="shared" ref="K18" si="13">G18+J18</f>
        <v>577415300</v>
      </c>
      <c r="O18" s="141"/>
    </row>
    <row r="19" spans="1:15" ht="20" customHeight="1" x14ac:dyDescent="0.35">
      <c r="A19" s="43"/>
      <c r="B19" s="9"/>
      <c r="C19" s="9"/>
      <c r="D19" s="45"/>
      <c r="E19" s="45"/>
      <c r="F19" s="97"/>
      <c r="G19" s="153"/>
      <c r="H19" s="45"/>
      <c r="I19" s="97"/>
      <c r="J19" s="97"/>
      <c r="K19" s="102"/>
    </row>
    <row r="20" spans="1:15" ht="24" customHeight="1" x14ac:dyDescent="0.35">
      <c r="A20" s="42" t="s">
        <v>64</v>
      </c>
      <c r="B20" s="6" t="s">
        <v>17</v>
      </c>
      <c r="C20" s="1"/>
      <c r="D20" s="155"/>
      <c r="E20" s="156"/>
      <c r="F20" s="157"/>
      <c r="G20" s="158"/>
      <c r="H20" s="159"/>
      <c r="I20" s="157"/>
      <c r="J20" s="157"/>
      <c r="K20" s="160"/>
      <c r="L20" s="3"/>
      <c r="M20" s="3"/>
      <c r="N20" s="3"/>
    </row>
    <row r="21" spans="1:15" ht="20" customHeight="1" x14ac:dyDescent="0.35">
      <c r="A21" s="34" t="s">
        <v>65</v>
      </c>
      <c r="B21" s="61" t="s">
        <v>223</v>
      </c>
      <c r="C21" s="29" t="s">
        <v>101</v>
      </c>
      <c r="D21" s="152">
        <v>2686</v>
      </c>
      <c r="E21" s="97">
        <v>90000</v>
      </c>
      <c r="F21" s="97">
        <f t="shared" ref="F21:F22" si="14">E21*77.5%</f>
        <v>69750</v>
      </c>
      <c r="G21" s="153">
        <f>F21*D21</f>
        <v>187348500</v>
      </c>
      <c r="H21" s="154">
        <v>0.75</v>
      </c>
      <c r="I21" s="97" t="e">
        <f>#REF!*H21</f>
        <v>#REF!</v>
      </c>
      <c r="J21" s="97">
        <f t="shared" ref="J21:J22" si="15">G21*18%</f>
        <v>33722730</v>
      </c>
      <c r="K21" s="102">
        <f t="shared" ref="K21:K22" si="16">G21+J21</f>
        <v>221071230</v>
      </c>
      <c r="O21" s="14"/>
    </row>
    <row r="22" spans="1:15" ht="20" customHeight="1" x14ac:dyDescent="0.35">
      <c r="A22" s="34" t="s">
        <v>95</v>
      </c>
      <c r="B22" s="61" t="s">
        <v>224</v>
      </c>
      <c r="C22" s="29" t="s">
        <v>101</v>
      </c>
      <c r="D22" s="152">
        <v>2686</v>
      </c>
      <c r="E22" s="97">
        <v>30000</v>
      </c>
      <c r="F22" s="97">
        <f t="shared" si="14"/>
        <v>23250</v>
      </c>
      <c r="G22" s="153">
        <f t="shared" ref="G22" si="17">F22*D22</f>
        <v>62449500</v>
      </c>
      <c r="H22" s="154">
        <v>0.2</v>
      </c>
      <c r="I22" s="97" t="e">
        <f>#REF!*H22</f>
        <v>#REF!</v>
      </c>
      <c r="J22" s="97">
        <f t="shared" si="15"/>
        <v>11240910</v>
      </c>
      <c r="K22" s="102">
        <f t="shared" si="16"/>
        <v>73690410</v>
      </c>
      <c r="O22" s="14"/>
    </row>
    <row r="23" spans="1:15" ht="20" customHeight="1" x14ac:dyDescent="0.35">
      <c r="A23" s="43"/>
      <c r="B23" s="273" t="s">
        <v>85</v>
      </c>
      <c r="C23" s="274"/>
      <c r="D23" s="275"/>
      <c r="E23" s="45"/>
      <c r="F23" s="45"/>
      <c r="G23" s="100">
        <f>SUM(G21:G22)</f>
        <v>249798000</v>
      </c>
      <c r="H23" s="45">
        <f t="shared" ref="H23:L23" si="18">SUM(H20:H22)</f>
        <v>0.95</v>
      </c>
      <c r="I23" s="45"/>
      <c r="J23" s="45">
        <f t="shared" si="18"/>
        <v>44963640</v>
      </c>
      <c r="K23" s="45">
        <f t="shared" si="18"/>
        <v>294761640</v>
      </c>
      <c r="L23" s="103">
        <f t="shared" si="18"/>
        <v>0</v>
      </c>
    </row>
    <row r="24" spans="1:15" ht="18" x14ac:dyDescent="0.35">
      <c r="A24" s="42" t="s">
        <v>67</v>
      </c>
      <c r="B24" s="6" t="s">
        <v>16</v>
      </c>
      <c r="C24" s="1"/>
      <c r="D24" s="155"/>
      <c r="E24" s="156"/>
      <c r="F24" s="157"/>
      <c r="G24" s="158"/>
      <c r="H24" s="159"/>
      <c r="I24" s="157"/>
      <c r="J24" s="157"/>
      <c r="K24" s="160"/>
      <c r="L24" s="3"/>
      <c r="M24" s="3"/>
      <c r="N24" s="3"/>
    </row>
    <row r="25" spans="1:15" ht="20" customHeight="1" x14ac:dyDescent="0.35">
      <c r="A25" s="34" t="s">
        <v>68</v>
      </c>
      <c r="B25" s="15" t="s">
        <v>6</v>
      </c>
      <c r="C25" s="10"/>
      <c r="D25" s="164"/>
      <c r="E25" s="165"/>
      <c r="F25" s="97"/>
      <c r="G25" s="153"/>
      <c r="H25" s="161"/>
      <c r="I25" s="97"/>
      <c r="J25" s="97"/>
      <c r="K25" s="102"/>
    </row>
    <row r="26" spans="1:15" ht="20" customHeight="1" x14ac:dyDescent="0.35">
      <c r="A26" s="34" t="s">
        <v>69</v>
      </c>
      <c r="B26" s="19" t="s">
        <v>225</v>
      </c>
      <c r="C26" s="29" t="s">
        <v>100</v>
      </c>
      <c r="D26" s="166">
        <v>540</v>
      </c>
      <c r="E26" s="30">
        <v>13000</v>
      </c>
      <c r="F26" s="97">
        <f t="shared" ref="F26" si="19">E26*77.5%</f>
        <v>10075</v>
      </c>
      <c r="G26" s="153">
        <f t="shared" ref="G26" si="20">D26*F26</f>
        <v>5440500</v>
      </c>
      <c r="H26" s="161">
        <v>1</v>
      </c>
      <c r="I26" s="97">
        <f>G26*H26</f>
        <v>5440500</v>
      </c>
      <c r="J26" s="97">
        <f t="shared" ref="J26" si="21">G26*18%</f>
        <v>979290</v>
      </c>
      <c r="K26" s="102">
        <f t="shared" ref="K26" si="22">G26+J26</f>
        <v>6419790</v>
      </c>
    </row>
    <row r="27" spans="1:15" ht="20" customHeight="1" x14ac:dyDescent="0.35">
      <c r="A27" s="75"/>
      <c r="B27" s="76"/>
      <c r="C27" s="9"/>
      <c r="D27" s="45"/>
      <c r="E27" s="45"/>
      <c r="F27" s="97"/>
      <c r="G27" s="153"/>
      <c r="H27" s="45"/>
      <c r="I27" s="97"/>
      <c r="J27" s="97"/>
      <c r="K27" s="102"/>
    </row>
    <row r="28" spans="1:15" ht="24" customHeight="1" x14ac:dyDescent="0.35">
      <c r="A28" s="42" t="s">
        <v>70</v>
      </c>
      <c r="B28" s="6" t="s">
        <v>18</v>
      </c>
      <c r="C28" s="1"/>
      <c r="D28" s="155"/>
      <c r="E28" s="156"/>
      <c r="F28" s="157"/>
      <c r="G28" s="158"/>
      <c r="H28" s="159"/>
      <c r="I28" s="157"/>
      <c r="J28" s="157"/>
      <c r="K28" s="160"/>
      <c r="L28" s="3"/>
      <c r="M28" s="3"/>
      <c r="N28" s="3"/>
    </row>
    <row r="29" spans="1:15" ht="20" customHeight="1" x14ac:dyDescent="0.35">
      <c r="A29" s="34" t="s">
        <v>71</v>
      </c>
      <c r="B29" s="17" t="s">
        <v>6</v>
      </c>
      <c r="C29" s="10"/>
      <c r="D29" s="164"/>
      <c r="E29" s="165"/>
      <c r="F29" s="97"/>
      <c r="G29" s="153"/>
      <c r="H29" s="161"/>
      <c r="I29" s="97"/>
      <c r="J29" s="97"/>
      <c r="K29" s="102"/>
    </row>
    <row r="30" spans="1:15" ht="20" customHeight="1" x14ac:dyDescent="0.35">
      <c r="A30" s="34" t="s">
        <v>66</v>
      </c>
      <c r="B30" s="19" t="s">
        <v>226</v>
      </c>
      <c r="C30" s="29" t="s">
        <v>102</v>
      </c>
      <c r="D30" s="152">
        <v>330</v>
      </c>
      <c r="E30" s="30">
        <v>10000</v>
      </c>
      <c r="F30" s="97">
        <f t="shared" ref="F30" si="23">E30*77.5%</f>
        <v>7750</v>
      </c>
      <c r="G30" s="153">
        <f t="shared" ref="G30" si="24">D30*F30</f>
        <v>2557500</v>
      </c>
      <c r="H30" s="161">
        <v>1</v>
      </c>
      <c r="I30" s="97">
        <f t="shared" ref="I30" si="25">G30*H30</f>
        <v>2557500</v>
      </c>
      <c r="J30" s="97">
        <f t="shared" ref="J30" si="26">G30*18%</f>
        <v>460350</v>
      </c>
      <c r="K30" s="102">
        <f t="shared" ref="K30" si="27">G30+J30</f>
        <v>3017850</v>
      </c>
    </row>
    <row r="31" spans="1:15" ht="20" customHeight="1" x14ac:dyDescent="0.35">
      <c r="A31" s="75"/>
      <c r="B31" s="76"/>
      <c r="C31" s="77"/>
      <c r="D31" s="45"/>
      <c r="E31" s="45"/>
      <c r="F31" s="97"/>
      <c r="G31" s="153"/>
      <c r="H31" s="45"/>
      <c r="I31" s="97"/>
      <c r="J31" s="97"/>
      <c r="K31" s="102"/>
    </row>
    <row r="32" spans="1:15" ht="24" customHeight="1" x14ac:dyDescent="0.35">
      <c r="A32" s="42" t="s">
        <v>72</v>
      </c>
      <c r="B32" s="6" t="s">
        <v>19</v>
      </c>
      <c r="C32" s="1"/>
      <c r="D32" s="155"/>
      <c r="E32" s="156"/>
      <c r="F32" s="157"/>
      <c r="G32" s="158"/>
      <c r="H32" s="159"/>
      <c r="I32" s="157"/>
      <c r="J32" s="157"/>
      <c r="K32" s="160"/>
      <c r="L32" s="3"/>
      <c r="M32" s="3"/>
      <c r="N32" s="3"/>
    </row>
    <row r="33" spans="1:15" ht="20" customHeight="1" x14ac:dyDescent="0.35">
      <c r="A33" s="34" t="s">
        <v>73</v>
      </c>
      <c r="B33" s="19" t="s">
        <v>227</v>
      </c>
      <c r="C33" s="29" t="s">
        <v>102</v>
      </c>
      <c r="D33" s="152">
        <v>7375</v>
      </c>
      <c r="E33" s="30">
        <v>2000</v>
      </c>
      <c r="F33" s="97">
        <f t="shared" ref="F33" si="28">E33*77.5%</f>
        <v>1550</v>
      </c>
      <c r="G33" s="153">
        <f t="shared" ref="G33" si="29">D33*F33</f>
        <v>11431250</v>
      </c>
      <c r="H33" s="154">
        <v>1</v>
      </c>
      <c r="I33" s="97">
        <f t="shared" ref="I33" si="30">G33*H33</f>
        <v>11431250</v>
      </c>
      <c r="J33" s="97">
        <f t="shared" ref="J33" si="31">G33*18%</f>
        <v>2057625</v>
      </c>
      <c r="K33" s="102">
        <f t="shared" ref="K33" si="32">G33+J33</f>
        <v>13488875</v>
      </c>
    </row>
    <row r="34" spans="1:15" s="14" customFormat="1" ht="20" customHeight="1" x14ac:dyDescent="0.35">
      <c r="A34" s="75"/>
      <c r="B34" s="76"/>
      <c r="C34" s="77"/>
      <c r="D34" s="45"/>
      <c r="E34" s="45"/>
      <c r="F34" s="97"/>
      <c r="G34" s="153"/>
      <c r="H34" s="45"/>
      <c r="I34" s="97"/>
      <c r="J34" s="97"/>
      <c r="K34" s="102"/>
      <c r="L34" s="4"/>
      <c r="M34" s="4"/>
      <c r="N34" s="4"/>
      <c r="O34" s="4"/>
    </row>
    <row r="35" spans="1:15" ht="18" x14ac:dyDescent="0.35">
      <c r="A35" s="42" t="s">
        <v>74</v>
      </c>
      <c r="B35" s="6" t="s">
        <v>7</v>
      </c>
      <c r="C35" s="1"/>
      <c r="D35" s="155"/>
      <c r="E35" s="156"/>
      <c r="F35" s="157"/>
      <c r="G35" s="158"/>
      <c r="H35" s="159"/>
      <c r="I35" s="157"/>
      <c r="J35" s="157"/>
      <c r="K35" s="160"/>
      <c r="L35" s="3"/>
      <c r="M35" s="3"/>
      <c r="N35" s="3"/>
    </row>
    <row r="36" spans="1:15" s="14" customFormat="1" ht="20" customHeight="1" x14ac:dyDescent="0.35">
      <c r="A36" s="34" t="s">
        <v>75</v>
      </c>
      <c r="B36" s="19" t="s">
        <v>228</v>
      </c>
      <c r="C36" s="29" t="s">
        <v>102</v>
      </c>
      <c r="D36" s="166">
        <v>9300</v>
      </c>
      <c r="E36" s="30">
        <v>800</v>
      </c>
      <c r="F36" s="97">
        <f t="shared" ref="F36" si="33">E36*77.5%</f>
        <v>620</v>
      </c>
      <c r="G36" s="153">
        <f t="shared" ref="G36" si="34">D36*F36</f>
        <v>5766000</v>
      </c>
      <c r="H36" s="154">
        <v>1</v>
      </c>
      <c r="I36" s="97">
        <f t="shared" ref="I36" si="35">G36*H36</f>
        <v>5766000</v>
      </c>
      <c r="J36" s="97">
        <f t="shared" ref="J36" si="36">G36*18%</f>
        <v>1037880</v>
      </c>
      <c r="K36" s="102">
        <f t="shared" ref="K36" si="37">G36+J36</f>
        <v>6803880</v>
      </c>
      <c r="L36" s="4"/>
      <c r="M36" s="4"/>
      <c r="N36" s="4"/>
      <c r="O36" s="4"/>
    </row>
    <row r="37" spans="1:15" ht="20" customHeight="1" x14ac:dyDescent="0.35">
      <c r="A37" s="75"/>
      <c r="B37" s="76"/>
      <c r="C37" s="77"/>
      <c r="D37" s="99"/>
      <c r="E37" s="45"/>
      <c r="F37" s="97"/>
      <c r="G37" s="153"/>
      <c r="H37" s="45"/>
      <c r="I37" s="97"/>
      <c r="J37" s="97"/>
      <c r="K37" s="102"/>
    </row>
    <row r="38" spans="1:15" ht="52.5" x14ac:dyDescent="0.4">
      <c r="A38" s="41" t="s">
        <v>44</v>
      </c>
      <c r="B38" s="129" t="s">
        <v>244</v>
      </c>
      <c r="C38" s="1"/>
      <c r="D38" s="155"/>
      <c r="E38" s="156"/>
      <c r="F38" s="97"/>
      <c r="G38" s="153"/>
      <c r="H38" s="167"/>
      <c r="I38" s="97"/>
      <c r="J38" s="97"/>
      <c r="K38" s="102"/>
    </row>
    <row r="39" spans="1:15" ht="20" customHeight="1" x14ac:dyDescent="0.35">
      <c r="A39" s="34" t="s">
        <v>45</v>
      </c>
      <c r="B39" s="16" t="s">
        <v>246</v>
      </c>
      <c r="C39" s="29" t="s">
        <v>98</v>
      </c>
      <c r="D39" s="152">
        <v>1</v>
      </c>
      <c r="E39" s="97">
        <v>900000</v>
      </c>
      <c r="F39" s="97">
        <f t="shared" ref="F39:F42" si="38">E39*77.5%</f>
        <v>697500</v>
      </c>
      <c r="G39" s="153">
        <f t="shared" ref="G39:G42" si="39">D39*F39</f>
        <v>697500</v>
      </c>
      <c r="H39" s="154">
        <v>1</v>
      </c>
      <c r="I39" s="97">
        <f t="shared" ref="I39:I42" si="40">G39*H39</f>
        <v>697500</v>
      </c>
      <c r="J39" s="97">
        <f t="shared" ref="J39:J42" si="41">G39*18%</f>
        <v>125550</v>
      </c>
      <c r="K39" s="102">
        <f t="shared" ref="K39:K42" si="42">G39+J39</f>
        <v>823050</v>
      </c>
    </row>
    <row r="40" spans="1:15" ht="20" customHeight="1" x14ac:dyDescent="0.35">
      <c r="A40" s="34" t="s">
        <v>46</v>
      </c>
      <c r="B40" s="16" t="s">
        <v>247</v>
      </c>
      <c r="C40" s="29" t="s">
        <v>98</v>
      </c>
      <c r="D40" s="152">
        <v>1</v>
      </c>
      <c r="E40" s="97">
        <v>900000</v>
      </c>
      <c r="F40" s="97">
        <f t="shared" si="38"/>
        <v>697500</v>
      </c>
      <c r="G40" s="153">
        <f t="shared" si="39"/>
        <v>697500</v>
      </c>
      <c r="H40" s="154">
        <v>1</v>
      </c>
      <c r="I40" s="97">
        <f t="shared" si="40"/>
        <v>697500</v>
      </c>
      <c r="J40" s="97">
        <f t="shared" si="41"/>
        <v>125550</v>
      </c>
      <c r="K40" s="102">
        <f t="shared" si="42"/>
        <v>823050</v>
      </c>
    </row>
    <row r="41" spans="1:15" ht="20" customHeight="1" x14ac:dyDescent="0.35">
      <c r="A41" s="34" t="s">
        <v>48</v>
      </c>
      <c r="B41" s="19" t="s">
        <v>4</v>
      </c>
      <c r="C41" s="29" t="s">
        <v>98</v>
      </c>
      <c r="D41" s="152">
        <v>1</v>
      </c>
      <c r="E41" s="97">
        <v>350000</v>
      </c>
      <c r="F41" s="97">
        <f t="shared" si="38"/>
        <v>271250</v>
      </c>
      <c r="G41" s="153">
        <f t="shared" si="39"/>
        <v>271250</v>
      </c>
      <c r="H41" s="154">
        <v>1</v>
      </c>
      <c r="I41" s="97">
        <f t="shared" si="40"/>
        <v>271250</v>
      </c>
      <c r="J41" s="97">
        <f t="shared" si="41"/>
        <v>48825</v>
      </c>
      <c r="K41" s="102">
        <f t="shared" si="42"/>
        <v>320075</v>
      </c>
    </row>
    <row r="42" spans="1:15" ht="20" customHeight="1" x14ac:dyDescent="0.35">
      <c r="A42" s="34" t="s">
        <v>88</v>
      </c>
      <c r="B42" s="19" t="s">
        <v>5</v>
      </c>
      <c r="C42" s="29" t="s">
        <v>98</v>
      </c>
      <c r="D42" s="152">
        <v>1</v>
      </c>
      <c r="E42" s="97">
        <v>500000</v>
      </c>
      <c r="F42" s="97">
        <f t="shared" si="38"/>
        <v>387500</v>
      </c>
      <c r="G42" s="153">
        <f t="shared" si="39"/>
        <v>387500</v>
      </c>
      <c r="H42" s="154">
        <v>1</v>
      </c>
      <c r="I42" s="97">
        <f t="shared" si="40"/>
        <v>387500</v>
      </c>
      <c r="J42" s="97">
        <f t="shared" si="41"/>
        <v>69750</v>
      </c>
      <c r="K42" s="102">
        <f t="shared" si="42"/>
        <v>457250</v>
      </c>
    </row>
    <row r="43" spans="1:15" ht="20" customHeight="1" x14ac:dyDescent="0.35">
      <c r="A43" s="273" t="s">
        <v>85</v>
      </c>
      <c r="B43" s="274"/>
      <c r="C43" s="275"/>
      <c r="D43" s="45"/>
      <c r="E43" s="45"/>
      <c r="F43" s="97"/>
      <c r="G43" s="100">
        <f>SUM(G39:G42)</f>
        <v>2053750</v>
      </c>
      <c r="H43" s="45"/>
      <c r="I43" s="100">
        <f>SUM(I39:I42)</f>
        <v>2053750</v>
      </c>
      <c r="J43" s="100">
        <f t="shared" ref="J43" si="43">I43*18%</f>
        <v>369675</v>
      </c>
      <c r="K43" s="104">
        <f t="shared" ref="K43" si="44">I43+J43</f>
        <v>2423425</v>
      </c>
    </row>
    <row r="44" spans="1:15" ht="20.5" customHeight="1" x14ac:dyDescent="0.35">
      <c r="A44" s="85" t="s">
        <v>142</v>
      </c>
      <c r="B44" s="145"/>
      <c r="C44" s="145"/>
      <c r="D44" s="168"/>
      <c r="E44" s="168"/>
      <c r="F44" s="168"/>
      <c r="G44" s="100">
        <f t="shared" ref="G44:K44" si="45">G43+G36+G33+G30+G26+G23+G18+G16+G13</f>
        <v>1089750750</v>
      </c>
      <c r="H44" s="100">
        <f t="shared" si="45"/>
        <v>6.95</v>
      </c>
      <c r="I44" s="100">
        <f t="shared" si="45"/>
        <v>839952750</v>
      </c>
      <c r="J44" s="100">
        <f t="shared" si="45"/>
        <v>196155135</v>
      </c>
      <c r="K44" s="100">
        <f t="shared" si="45"/>
        <v>1285905885</v>
      </c>
    </row>
    <row r="45" spans="1:15" ht="12.5" customHeight="1" x14ac:dyDescent="0.35">
      <c r="A45" s="63"/>
      <c r="B45" s="55"/>
      <c r="C45" s="55"/>
      <c r="D45" s="64"/>
      <c r="E45" s="64"/>
      <c r="F45" s="64"/>
      <c r="G45" s="64"/>
      <c r="H45" s="64"/>
      <c r="I45" s="64"/>
      <c r="J45" s="64"/>
      <c r="K45" s="102"/>
    </row>
    <row r="46" spans="1:15" ht="20" customHeight="1" x14ac:dyDescent="0.35">
      <c r="A46" s="276" t="s">
        <v>120</v>
      </c>
      <c r="B46" s="277"/>
      <c r="C46" s="277"/>
      <c r="D46" s="277"/>
      <c r="E46" s="277"/>
      <c r="F46" s="277"/>
      <c r="G46" s="277"/>
      <c r="H46" s="277"/>
      <c r="I46" s="277"/>
      <c r="J46" s="277"/>
      <c r="K46" s="278"/>
    </row>
    <row r="47" spans="1:15" ht="20" customHeight="1" x14ac:dyDescent="0.35">
      <c r="A47" s="105"/>
      <c r="B47" s="6" t="s">
        <v>13</v>
      </c>
      <c r="K47" s="106"/>
    </row>
    <row r="48" spans="1:15" ht="20" customHeight="1" x14ac:dyDescent="0.35">
      <c r="A48" s="34" t="s">
        <v>145</v>
      </c>
      <c r="B48" s="19" t="s">
        <v>212</v>
      </c>
      <c r="C48" s="29" t="s">
        <v>100</v>
      </c>
      <c r="D48" s="152">
        <v>11500</v>
      </c>
      <c r="E48" s="30">
        <v>800</v>
      </c>
      <c r="F48" s="97">
        <f>ROUND(E48*77.5%,2)</f>
        <v>620</v>
      </c>
      <c r="G48" s="153">
        <f>ROUND(D48*F48,2)</f>
        <v>7130000</v>
      </c>
      <c r="H48" s="154">
        <v>1</v>
      </c>
      <c r="I48" s="97">
        <f>G48*H48</f>
        <v>7130000</v>
      </c>
      <c r="J48" s="97">
        <f>ROUND(G48*18%,2)</f>
        <v>1283400</v>
      </c>
      <c r="K48" s="102">
        <f t="shared" ref="K48" si="46">G48+J48</f>
        <v>8413400</v>
      </c>
      <c r="L48" s="143"/>
      <c r="M48" s="143"/>
      <c r="N48" s="143"/>
    </row>
    <row r="49" spans="1:16" ht="20" customHeight="1" x14ac:dyDescent="0.35">
      <c r="A49" s="34"/>
      <c r="B49" s="9"/>
      <c r="C49" s="29"/>
      <c r="D49" s="152"/>
      <c r="E49" s="30"/>
      <c r="F49" s="97"/>
      <c r="G49" s="153"/>
      <c r="H49" s="154"/>
      <c r="I49" s="97"/>
      <c r="J49" s="97"/>
      <c r="K49" s="102"/>
      <c r="L49" s="143"/>
      <c r="M49" s="143"/>
      <c r="N49" s="143"/>
    </row>
    <row r="50" spans="1:16" ht="20" customHeight="1" x14ac:dyDescent="0.35">
      <c r="A50" s="107"/>
      <c r="B50" s="6" t="s">
        <v>14</v>
      </c>
      <c r="C50" s="96"/>
      <c r="D50" s="97"/>
      <c r="E50" s="97"/>
      <c r="F50" s="97"/>
      <c r="G50" s="97"/>
      <c r="H50" s="97"/>
      <c r="I50" s="97"/>
      <c r="J50" s="97"/>
      <c r="K50" s="102"/>
      <c r="O50" s="143"/>
    </row>
    <row r="51" spans="1:16" s="2" customFormat="1" ht="20" customHeight="1" x14ac:dyDescent="0.35">
      <c r="A51" s="34" t="s">
        <v>146</v>
      </c>
      <c r="B51" s="19" t="s">
        <v>229</v>
      </c>
      <c r="C51" s="29" t="s">
        <v>100</v>
      </c>
      <c r="D51" s="152">
        <v>170</v>
      </c>
      <c r="E51" s="30">
        <v>15000</v>
      </c>
      <c r="F51" s="97">
        <f t="shared" ref="F51" si="47">E51*77.5%</f>
        <v>11625</v>
      </c>
      <c r="G51" s="153">
        <f t="shared" ref="G51" si="48">D51*F51</f>
        <v>1976250</v>
      </c>
      <c r="H51" s="154">
        <v>1</v>
      </c>
      <c r="I51" s="97">
        <f t="shared" ref="I51" si="49">G51*H51</f>
        <v>1976250</v>
      </c>
      <c r="J51" s="97">
        <f t="shared" ref="J51" si="50">G51*18%</f>
        <v>355725</v>
      </c>
      <c r="K51" s="102">
        <f t="shared" ref="K51" si="51">G51+J51</f>
        <v>2331975</v>
      </c>
    </row>
    <row r="52" spans="1:16" ht="20" customHeight="1" x14ac:dyDescent="0.35">
      <c r="A52" s="105"/>
      <c r="B52" s="6" t="s">
        <v>15</v>
      </c>
      <c r="D52" s="23"/>
      <c r="E52" s="23"/>
      <c r="F52" s="23"/>
      <c r="G52" s="23"/>
      <c r="H52" s="23"/>
      <c r="I52" s="23"/>
      <c r="J52" s="23"/>
      <c r="K52" s="169"/>
    </row>
    <row r="53" spans="1:16" ht="20" customHeight="1" x14ac:dyDescent="0.35">
      <c r="A53" s="34" t="s">
        <v>147</v>
      </c>
      <c r="B53" s="19" t="s">
        <v>230</v>
      </c>
      <c r="C53" s="29" t="s">
        <v>100</v>
      </c>
      <c r="D53" s="152">
        <v>1040</v>
      </c>
      <c r="E53" s="30">
        <v>27500</v>
      </c>
      <c r="F53" s="97">
        <f>E53*77.5%</f>
        <v>21312.5</v>
      </c>
      <c r="G53" s="153">
        <f>D53*F53</f>
        <v>22165000</v>
      </c>
      <c r="H53" s="154">
        <v>1</v>
      </c>
      <c r="I53" s="97">
        <f>G53*H53</f>
        <v>22165000</v>
      </c>
      <c r="J53" s="97">
        <f t="shared" ref="J53" si="52">G53*18%</f>
        <v>3989700</v>
      </c>
      <c r="K53" s="102">
        <f t="shared" ref="K53" si="53">G53+J53</f>
        <v>26154700</v>
      </c>
    </row>
    <row r="54" spans="1:16" ht="20" customHeight="1" x14ac:dyDescent="0.35">
      <c r="A54" s="108"/>
      <c r="B54" s="130"/>
      <c r="C54" s="33"/>
      <c r="D54" s="170"/>
      <c r="E54" s="170"/>
      <c r="F54" s="23"/>
      <c r="G54" s="171"/>
      <c r="H54" s="23"/>
      <c r="I54" s="23"/>
      <c r="J54" s="23"/>
      <c r="K54" s="169"/>
    </row>
    <row r="55" spans="1:16" ht="20" customHeight="1" x14ac:dyDescent="0.35">
      <c r="A55" s="122" t="s">
        <v>148</v>
      </c>
      <c r="B55" s="6" t="s">
        <v>17</v>
      </c>
      <c r="C55" s="96"/>
      <c r="D55" s="97"/>
      <c r="E55" s="97"/>
      <c r="F55" s="97"/>
      <c r="G55" s="97"/>
      <c r="H55" s="97"/>
      <c r="I55" s="97"/>
      <c r="J55" s="97"/>
      <c r="K55" s="97"/>
    </row>
    <row r="56" spans="1:16" ht="20" customHeight="1" x14ac:dyDescent="0.35">
      <c r="A56" s="95" t="s">
        <v>149</v>
      </c>
      <c r="B56" s="60" t="s">
        <v>216</v>
      </c>
      <c r="C56" s="29" t="s">
        <v>101</v>
      </c>
      <c r="D56" s="152">
        <v>114</v>
      </c>
      <c r="E56" s="30">
        <v>90000</v>
      </c>
      <c r="F56" s="97">
        <f>E56*77.5%</f>
        <v>69750</v>
      </c>
      <c r="G56" s="153">
        <f>F56*D56</f>
        <v>7951500</v>
      </c>
      <c r="H56" s="154">
        <v>0.75</v>
      </c>
      <c r="I56" s="97" t="e">
        <f>#REF!*H56</f>
        <v>#REF!</v>
      </c>
      <c r="J56" s="97">
        <f t="shared" ref="J56:J57" si="54">G56*18%</f>
        <v>1431270</v>
      </c>
      <c r="K56" s="102">
        <f t="shared" ref="K56:K57" si="55">G56+J56</f>
        <v>9382770</v>
      </c>
      <c r="L56" s="4">
        <v>4185000</v>
      </c>
      <c r="O56" s="4">
        <f>L56/77.5%</f>
        <v>5400000</v>
      </c>
      <c r="P56" s="14">
        <f>O56/D56</f>
        <v>47368.42105263158</v>
      </c>
    </row>
    <row r="57" spans="1:16" ht="20" customHeight="1" x14ac:dyDescent="0.35">
      <c r="A57" s="95" t="s">
        <v>150</v>
      </c>
      <c r="B57" s="60" t="s">
        <v>215</v>
      </c>
      <c r="C57" s="29" t="s">
        <v>101</v>
      </c>
      <c r="D57" s="152">
        <v>114</v>
      </c>
      <c r="E57" s="30">
        <v>30000</v>
      </c>
      <c r="F57" s="97">
        <f t="shared" ref="F57" si="56">E57*77.5%</f>
        <v>23250</v>
      </c>
      <c r="G57" s="153">
        <f t="shared" ref="G57" si="57">F57*D57</f>
        <v>2650500</v>
      </c>
      <c r="H57" s="154">
        <v>0.2</v>
      </c>
      <c r="I57" s="97" t="e">
        <f>#REF!*H57</f>
        <v>#REF!</v>
      </c>
      <c r="J57" s="97">
        <f t="shared" si="54"/>
        <v>477090</v>
      </c>
      <c r="K57" s="102">
        <f t="shared" si="55"/>
        <v>3127590</v>
      </c>
      <c r="L57" s="4">
        <v>1116000</v>
      </c>
      <c r="O57" s="4">
        <f t="shared" ref="O57" si="58">L57/77.5%</f>
        <v>1440000</v>
      </c>
      <c r="P57" s="14">
        <f t="shared" ref="P57" si="59">O57/D57</f>
        <v>12631.578947368422</v>
      </c>
    </row>
    <row r="58" spans="1:16" ht="20" customHeight="1" x14ac:dyDescent="0.35">
      <c r="A58" s="258" t="s">
        <v>85</v>
      </c>
      <c r="B58" s="258"/>
      <c r="C58" s="258"/>
      <c r="D58" s="45">
        <f>SUM(D56:D57)</f>
        <v>228</v>
      </c>
      <c r="E58" s="45"/>
      <c r="F58" s="97"/>
      <c r="G58" s="45">
        <f>SUM(G56:G57)</f>
        <v>10602000</v>
      </c>
      <c r="H58" s="97"/>
      <c r="I58" s="45" t="e">
        <f>SUM(I56:I57)</f>
        <v>#REF!</v>
      </c>
      <c r="J58" s="45">
        <f>SUM(J56:J57)</f>
        <v>1908360</v>
      </c>
      <c r="K58" s="45">
        <f>SUM(K56:K57)</f>
        <v>12510360</v>
      </c>
    </row>
    <row r="59" spans="1:16" ht="20" customHeight="1" x14ac:dyDescent="0.35">
      <c r="A59" s="9"/>
      <c r="B59" s="9"/>
      <c r="C59" s="9"/>
      <c r="D59" s="45"/>
      <c r="E59" s="45"/>
      <c r="F59" s="97"/>
      <c r="G59" s="153"/>
      <c r="H59" s="97"/>
      <c r="I59" s="97"/>
      <c r="J59" s="97"/>
      <c r="K59" s="97"/>
    </row>
    <row r="60" spans="1:16" ht="20" customHeight="1" x14ac:dyDescent="0.35">
      <c r="A60" s="122" t="s">
        <v>151</v>
      </c>
      <c r="B60" s="6" t="s">
        <v>16</v>
      </c>
      <c r="C60" s="96"/>
      <c r="D60" s="97"/>
      <c r="E60" s="97"/>
      <c r="F60" s="97"/>
      <c r="G60" s="97"/>
      <c r="H60" s="97"/>
      <c r="I60" s="97"/>
      <c r="J60" s="97"/>
      <c r="K60" s="97"/>
    </row>
    <row r="61" spans="1:16" ht="20" customHeight="1" x14ac:dyDescent="0.35">
      <c r="A61" s="123" t="s">
        <v>152</v>
      </c>
      <c r="B61" s="19" t="s">
        <v>217</v>
      </c>
      <c r="C61" s="29" t="s">
        <v>100</v>
      </c>
      <c r="D61" s="166">
        <v>460</v>
      </c>
      <c r="E61" s="30">
        <v>13000</v>
      </c>
      <c r="F61" s="97">
        <f>E61*77.5%</f>
        <v>10075</v>
      </c>
      <c r="G61" s="153">
        <f>D61*F61</f>
        <v>4634500</v>
      </c>
      <c r="H61" s="154">
        <v>1</v>
      </c>
      <c r="I61" s="97">
        <f>G61*H61</f>
        <v>4634500</v>
      </c>
      <c r="J61" s="97">
        <f t="shared" ref="J61" si="60">G61*18%</f>
        <v>834210</v>
      </c>
      <c r="K61" s="102">
        <f t="shared" ref="K61" si="61">G61+J61</f>
        <v>5468710</v>
      </c>
    </row>
    <row r="62" spans="1:16" ht="20" customHeight="1" x14ac:dyDescent="0.35">
      <c r="A62" s="9"/>
      <c r="B62" s="9"/>
      <c r="C62" s="9"/>
      <c r="D62" s="45"/>
      <c r="E62" s="45"/>
      <c r="F62" s="97"/>
      <c r="G62" s="153"/>
      <c r="H62" s="97"/>
      <c r="I62" s="97"/>
      <c r="J62" s="97"/>
      <c r="K62" s="97"/>
    </row>
    <row r="63" spans="1:16" ht="20" customHeight="1" x14ac:dyDescent="0.35">
      <c r="A63" s="122" t="s">
        <v>153</v>
      </c>
      <c r="B63" s="6" t="s">
        <v>18</v>
      </c>
      <c r="C63" s="96"/>
      <c r="D63" s="97"/>
      <c r="E63" s="97"/>
      <c r="F63" s="97"/>
      <c r="G63" s="97"/>
      <c r="H63" s="97"/>
      <c r="I63" s="97"/>
      <c r="J63" s="97"/>
      <c r="K63" s="97"/>
    </row>
    <row r="64" spans="1:16" ht="20" customHeight="1" x14ac:dyDescent="0.35">
      <c r="A64" s="95" t="s">
        <v>154</v>
      </c>
      <c r="B64" s="187" t="s">
        <v>231</v>
      </c>
      <c r="C64" s="29" t="s">
        <v>102</v>
      </c>
      <c r="D64" s="152">
        <v>310</v>
      </c>
      <c r="E64" s="30">
        <v>10000</v>
      </c>
      <c r="F64" s="97">
        <f>E64*77.5%</f>
        <v>7750</v>
      </c>
      <c r="G64" s="153">
        <f>D64*F64</f>
        <v>2402500</v>
      </c>
      <c r="H64" s="154">
        <v>1</v>
      </c>
      <c r="I64" s="97">
        <f>G64*H64</f>
        <v>2402500</v>
      </c>
      <c r="J64" s="97">
        <f t="shared" ref="J64" si="62">G64*18%</f>
        <v>432450</v>
      </c>
      <c r="K64" s="102">
        <f t="shared" ref="K64" si="63">G64+J64</f>
        <v>2834950</v>
      </c>
    </row>
    <row r="65" spans="1:16" ht="20" customHeight="1" x14ac:dyDescent="0.35">
      <c r="A65" s="9"/>
      <c r="B65" s="9"/>
      <c r="C65" s="9"/>
      <c r="D65" s="45"/>
      <c r="E65" s="45"/>
      <c r="F65" s="97"/>
      <c r="G65" s="153"/>
      <c r="H65" s="97"/>
      <c r="I65" s="97"/>
      <c r="J65" s="97"/>
      <c r="K65" s="97"/>
    </row>
    <row r="66" spans="1:16" ht="20" customHeight="1" x14ac:dyDescent="0.35">
      <c r="A66" s="122" t="s">
        <v>155</v>
      </c>
      <c r="B66" s="6" t="s">
        <v>19</v>
      </c>
      <c r="C66" s="96"/>
      <c r="D66" s="97"/>
      <c r="E66" s="97"/>
      <c r="F66" s="97"/>
      <c r="G66" s="97"/>
      <c r="H66" s="97"/>
      <c r="I66" s="97"/>
      <c r="J66" s="97"/>
      <c r="K66" s="97"/>
    </row>
    <row r="67" spans="1:16" s="14" customFormat="1" ht="20" customHeight="1" x14ac:dyDescent="0.35">
      <c r="A67" s="123" t="s">
        <v>156</v>
      </c>
      <c r="B67" s="187" t="s">
        <v>232</v>
      </c>
      <c r="C67" s="29" t="s">
        <v>102</v>
      </c>
      <c r="D67" s="152">
        <v>625</v>
      </c>
      <c r="E67" s="30">
        <v>2000</v>
      </c>
      <c r="F67" s="97">
        <f>E67*77.5%</f>
        <v>1550</v>
      </c>
      <c r="G67" s="153">
        <f>D67*F67</f>
        <v>968750</v>
      </c>
      <c r="H67" s="154">
        <v>1</v>
      </c>
      <c r="I67" s="97">
        <f>G67*H67</f>
        <v>968750</v>
      </c>
      <c r="J67" s="97">
        <f t="shared" ref="J67" si="64">G67*18%</f>
        <v>174375</v>
      </c>
      <c r="K67" s="102">
        <f t="shared" ref="K67" si="65">G67+J67</f>
        <v>1143125</v>
      </c>
      <c r="L67" s="4"/>
      <c r="M67" s="4"/>
      <c r="N67" s="4"/>
      <c r="O67" s="4"/>
    </row>
    <row r="68" spans="1:16" ht="20" customHeight="1" x14ac:dyDescent="0.35">
      <c r="A68" s="9"/>
      <c r="B68" s="9"/>
      <c r="C68" s="9"/>
      <c r="D68" s="45"/>
      <c r="E68" s="45"/>
      <c r="F68" s="97"/>
      <c r="G68" s="153"/>
      <c r="H68" s="97"/>
      <c r="I68" s="97"/>
      <c r="J68" s="97"/>
      <c r="K68" s="97"/>
    </row>
    <row r="69" spans="1:16" ht="20" customHeight="1" x14ac:dyDescent="0.35">
      <c r="A69" s="122" t="s">
        <v>157</v>
      </c>
      <c r="B69" s="6" t="s">
        <v>7</v>
      </c>
      <c r="C69" s="96"/>
      <c r="D69" s="97"/>
      <c r="E69" s="97"/>
      <c r="F69" s="97"/>
      <c r="G69" s="97"/>
      <c r="H69" s="97"/>
      <c r="I69" s="97"/>
      <c r="J69" s="97"/>
      <c r="K69" s="97"/>
    </row>
    <row r="70" spans="1:16" ht="20" customHeight="1" x14ac:dyDescent="0.35">
      <c r="A70" s="123" t="s">
        <v>158</v>
      </c>
      <c r="B70" s="187" t="s">
        <v>233</v>
      </c>
      <c r="C70" s="29" t="s">
        <v>102</v>
      </c>
      <c r="D70" s="166">
        <v>8950</v>
      </c>
      <c r="E70" s="30">
        <v>800</v>
      </c>
      <c r="F70" s="97">
        <f>E70*77.5%</f>
        <v>620</v>
      </c>
      <c r="G70" s="153">
        <f>D70*F70</f>
        <v>5549000</v>
      </c>
      <c r="H70" s="154">
        <v>1</v>
      </c>
      <c r="I70" s="97">
        <f>G70*H70</f>
        <v>5549000</v>
      </c>
      <c r="J70" s="97">
        <f t="shared" ref="J70" si="66">G70*18%</f>
        <v>998820</v>
      </c>
      <c r="K70" s="102">
        <f t="shared" ref="K70" si="67">G70+J70</f>
        <v>6547820</v>
      </c>
    </row>
    <row r="71" spans="1:16" ht="20" customHeight="1" x14ac:dyDescent="0.35">
      <c r="A71" s="9"/>
      <c r="B71" s="9"/>
      <c r="C71" s="9"/>
      <c r="D71" s="45"/>
      <c r="E71" s="45"/>
      <c r="F71" s="97"/>
      <c r="G71" s="153"/>
      <c r="H71" s="97"/>
      <c r="I71" s="97"/>
      <c r="J71" s="97"/>
      <c r="K71" s="97"/>
    </row>
    <row r="72" spans="1:16" ht="52.5" x14ac:dyDescent="0.35">
      <c r="A72" s="112" t="s">
        <v>159</v>
      </c>
      <c r="B72" s="129" t="s">
        <v>245</v>
      </c>
      <c r="C72" s="96"/>
      <c r="D72" s="97"/>
      <c r="E72" s="97"/>
      <c r="F72" s="97"/>
      <c r="G72" s="97"/>
      <c r="H72" s="97"/>
      <c r="I72" s="97"/>
      <c r="J72" s="97"/>
      <c r="K72" s="97"/>
    </row>
    <row r="73" spans="1:16" ht="20" customHeight="1" x14ac:dyDescent="0.35">
      <c r="A73" s="95" t="s">
        <v>160</v>
      </c>
      <c r="B73" s="19" t="s">
        <v>1</v>
      </c>
      <c r="C73" s="29" t="s">
        <v>98</v>
      </c>
      <c r="D73" s="152">
        <v>1</v>
      </c>
      <c r="E73" s="97">
        <v>1200000</v>
      </c>
      <c r="F73" s="97">
        <f>E73*77.5%</f>
        <v>930000</v>
      </c>
      <c r="G73" s="153">
        <f>D73*F73</f>
        <v>930000</v>
      </c>
      <c r="H73" s="154">
        <v>1</v>
      </c>
      <c r="I73" s="97">
        <f>G73*H73</f>
        <v>930000</v>
      </c>
      <c r="J73" s="97">
        <f t="shared" ref="J73:J75" si="68">G73*18%</f>
        <v>167400</v>
      </c>
      <c r="K73" s="102">
        <f t="shared" ref="K73:K75" si="69">G73+J73</f>
        <v>1097400</v>
      </c>
    </row>
    <row r="74" spans="1:16" ht="20" customHeight="1" x14ac:dyDescent="0.35">
      <c r="A74" s="95" t="s">
        <v>161</v>
      </c>
      <c r="B74" s="19" t="s">
        <v>2</v>
      </c>
      <c r="C74" s="29" t="s">
        <v>98</v>
      </c>
      <c r="D74" s="152">
        <v>1</v>
      </c>
      <c r="E74" s="97">
        <v>1000000</v>
      </c>
      <c r="F74" s="97">
        <f>E74*77.5%</f>
        <v>775000</v>
      </c>
      <c r="G74" s="153">
        <f>D74*F74</f>
        <v>775000</v>
      </c>
      <c r="H74" s="154">
        <v>1</v>
      </c>
      <c r="I74" s="97">
        <f>G74*H74</f>
        <v>775000</v>
      </c>
      <c r="J74" s="97">
        <f t="shared" si="68"/>
        <v>139500</v>
      </c>
      <c r="K74" s="102">
        <f t="shared" si="69"/>
        <v>914500</v>
      </c>
    </row>
    <row r="75" spans="1:16" ht="20" customHeight="1" x14ac:dyDescent="0.35">
      <c r="A75" s="95" t="s">
        <v>162</v>
      </c>
      <c r="B75" s="19" t="s">
        <v>3</v>
      </c>
      <c r="C75" s="29" t="s">
        <v>98</v>
      </c>
      <c r="D75" s="152">
        <v>1</v>
      </c>
      <c r="E75" s="97">
        <f>150000</f>
        <v>150000</v>
      </c>
      <c r="F75" s="97">
        <f>E75*77.5%</f>
        <v>116250</v>
      </c>
      <c r="G75" s="153">
        <f>D75*F75</f>
        <v>116250</v>
      </c>
      <c r="H75" s="154">
        <v>1</v>
      </c>
      <c r="I75" s="97">
        <f>G75*H75</f>
        <v>116250</v>
      </c>
      <c r="J75" s="97">
        <f t="shared" si="68"/>
        <v>20925</v>
      </c>
      <c r="K75" s="102">
        <f t="shared" si="69"/>
        <v>137175</v>
      </c>
    </row>
    <row r="76" spans="1:16" ht="20" customHeight="1" x14ac:dyDescent="0.35">
      <c r="A76" s="258" t="s">
        <v>85</v>
      </c>
      <c r="B76" s="258"/>
      <c r="C76" s="258"/>
      <c r="D76" s="45"/>
      <c r="E76" s="45"/>
      <c r="F76" s="97"/>
      <c r="G76" s="100">
        <f>SUM(G73:G75)</f>
        <v>1821250</v>
      </c>
      <c r="H76" s="97"/>
      <c r="I76" s="100">
        <f>SUM(I73:I75)</f>
        <v>1821250</v>
      </c>
      <c r="J76" s="100">
        <f t="shared" ref="J76:K76" si="70">SUM(J73:J75)</f>
        <v>327825</v>
      </c>
      <c r="K76" s="100">
        <f t="shared" si="70"/>
        <v>2149075</v>
      </c>
    </row>
    <row r="77" spans="1:16" ht="20" customHeight="1" x14ac:dyDescent="0.35">
      <c r="A77" s="9"/>
      <c r="B77" s="9"/>
      <c r="C77" s="9"/>
      <c r="D77" s="45"/>
      <c r="E77" s="45"/>
      <c r="F77" s="97"/>
      <c r="G77" s="153"/>
      <c r="H77" s="97"/>
      <c r="I77" s="97"/>
      <c r="J77" s="97"/>
      <c r="K77" s="97"/>
    </row>
    <row r="78" spans="1:16" s="8" customFormat="1" ht="22" customHeight="1" x14ac:dyDescent="0.4">
      <c r="A78" s="112" t="s">
        <v>163</v>
      </c>
      <c r="B78" s="6" t="s">
        <v>20</v>
      </c>
      <c r="C78" s="7"/>
      <c r="D78" s="167"/>
      <c r="E78" s="167"/>
      <c r="F78" s="172"/>
      <c r="G78" s="173"/>
      <c r="H78" s="167"/>
      <c r="I78" s="172"/>
      <c r="J78" s="172"/>
      <c r="K78" s="172"/>
      <c r="L78" s="74"/>
      <c r="M78" s="188"/>
      <c r="N78" s="188"/>
    </row>
    <row r="79" spans="1:16" x14ac:dyDescent="0.35">
      <c r="A79" s="112" t="s">
        <v>164</v>
      </c>
      <c r="B79" s="18" t="s">
        <v>207</v>
      </c>
      <c r="C79" s="79" t="s">
        <v>102</v>
      </c>
      <c r="D79" s="90">
        <v>16500</v>
      </c>
      <c r="E79" s="30"/>
      <c r="F79" s="97">
        <f>E79*77.5%</f>
        <v>0</v>
      </c>
      <c r="G79" s="153">
        <f t="shared" ref="G79" si="71">D79*F79</f>
        <v>0</v>
      </c>
      <c r="H79" s="152"/>
      <c r="I79" s="97"/>
      <c r="J79" s="97"/>
      <c r="K79" s="97"/>
    </row>
    <row r="80" spans="1:16" ht="20" customHeight="1" x14ac:dyDescent="0.35">
      <c r="A80" s="112" t="s">
        <v>165</v>
      </c>
      <c r="B80" s="26" t="s">
        <v>8</v>
      </c>
      <c r="C80" s="29" t="s">
        <v>102</v>
      </c>
      <c r="D80" s="152">
        <v>16500</v>
      </c>
      <c r="E80" s="30">
        <v>1500</v>
      </c>
      <c r="F80" s="97">
        <f>E80*77.5%</f>
        <v>1162.5</v>
      </c>
      <c r="G80" s="153">
        <f>F80*D80</f>
        <v>19181250</v>
      </c>
      <c r="H80" s="154">
        <v>0.25</v>
      </c>
      <c r="I80" s="97">
        <f>G79*H80</f>
        <v>0</v>
      </c>
      <c r="J80" s="97">
        <f t="shared" ref="J80:J88" si="72">G80*18%</f>
        <v>3452625</v>
      </c>
      <c r="K80" s="102">
        <f t="shared" ref="K80:K88" si="73">G80+J80</f>
        <v>22633875</v>
      </c>
      <c r="L80" s="97">
        <v>19181250</v>
      </c>
      <c r="M80" s="23"/>
      <c r="N80" s="23"/>
      <c r="O80" s="143">
        <f>L80/D80</f>
        <v>1162.5</v>
      </c>
      <c r="P80" s="4">
        <f>O80/77.5%</f>
        <v>1500</v>
      </c>
    </row>
    <row r="81" spans="1:16" ht="20" customHeight="1" x14ac:dyDescent="0.35">
      <c r="A81" s="112" t="s">
        <v>166</v>
      </c>
      <c r="B81" s="26" t="s">
        <v>9</v>
      </c>
      <c r="C81" s="29" t="s">
        <v>102</v>
      </c>
      <c r="D81" s="152">
        <v>16500</v>
      </c>
      <c r="E81" s="30">
        <v>1500</v>
      </c>
      <c r="F81" s="97">
        <f t="shared" ref="F81:F83" si="74">E81*77.5%</f>
        <v>1162.5</v>
      </c>
      <c r="G81" s="153">
        <f t="shared" ref="G81:G83" si="75">F81*D81</f>
        <v>19181250</v>
      </c>
      <c r="H81" s="154">
        <v>0.25</v>
      </c>
      <c r="I81" s="97">
        <f>G79*H81</f>
        <v>0</v>
      </c>
      <c r="J81" s="97">
        <f t="shared" si="72"/>
        <v>3452625</v>
      </c>
      <c r="K81" s="102">
        <f t="shared" si="73"/>
        <v>22633875</v>
      </c>
      <c r="L81" s="97">
        <v>19181250</v>
      </c>
      <c r="M81" s="23"/>
      <c r="N81" s="23"/>
      <c r="O81" s="143">
        <f t="shared" ref="O81:O83" si="76">L81/D81</f>
        <v>1162.5</v>
      </c>
      <c r="P81" s="4">
        <f t="shared" ref="P81:P83" si="77">O81/77.5%</f>
        <v>1500</v>
      </c>
    </row>
    <row r="82" spans="1:16" ht="20" customHeight="1" x14ac:dyDescent="0.35">
      <c r="A82" s="112" t="s">
        <v>167</v>
      </c>
      <c r="B82" s="26" t="s">
        <v>10</v>
      </c>
      <c r="C82" s="29" t="s">
        <v>102</v>
      </c>
      <c r="D82" s="152">
        <v>16500</v>
      </c>
      <c r="E82" s="30">
        <v>2100</v>
      </c>
      <c r="F82" s="97">
        <f t="shared" si="74"/>
        <v>1627.5</v>
      </c>
      <c r="G82" s="153">
        <f t="shared" si="75"/>
        <v>26853750</v>
      </c>
      <c r="H82" s="154">
        <v>0.35</v>
      </c>
      <c r="I82" s="97">
        <f>G79*H82</f>
        <v>0</v>
      </c>
      <c r="J82" s="97">
        <f t="shared" si="72"/>
        <v>4833675</v>
      </c>
      <c r="K82" s="102">
        <f t="shared" si="73"/>
        <v>31687425</v>
      </c>
      <c r="L82" s="97">
        <v>26853750</v>
      </c>
      <c r="M82" s="23"/>
      <c r="N82" s="23"/>
      <c r="O82" s="143">
        <f t="shared" si="76"/>
        <v>1627.5</v>
      </c>
      <c r="P82" s="4">
        <f t="shared" si="77"/>
        <v>2100</v>
      </c>
    </row>
    <row r="83" spans="1:16" ht="20" customHeight="1" x14ac:dyDescent="0.35">
      <c r="A83" s="112" t="s">
        <v>168</v>
      </c>
      <c r="B83" s="26" t="s">
        <v>87</v>
      </c>
      <c r="C83" s="29" t="s">
        <v>102</v>
      </c>
      <c r="D83" s="152">
        <v>16500</v>
      </c>
      <c r="E83" s="30">
        <v>900</v>
      </c>
      <c r="F83" s="97">
        <f t="shared" si="74"/>
        <v>697.5</v>
      </c>
      <c r="G83" s="153">
        <f t="shared" si="75"/>
        <v>11508750</v>
      </c>
      <c r="H83" s="154">
        <v>0.15</v>
      </c>
      <c r="I83" s="97">
        <f>G79*H83</f>
        <v>0</v>
      </c>
      <c r="J83" s="97">
        <f t="shared" si="72"/>
        <v>2071575</v>
      </c>
      <c r="K83" s="102">
        <f t="shared" si="73"/>
        <v>13580325</v>
      </c>
      <c r="L83" s="97">
        <v>11508750</v>
      </c>
      <c r="M83" s="23"/>
      <c r="N83" s="23"/>
      <c r="O83" s="143">
        <f t="shared" si="76"/>
        <v>697.5</v>
      </c>
      <c r="P83" s="4">
        <f t="shared" si="77"/>
        <v>900</v>
      </c>
    </row>
    <row r="84" spans="1:16" x14ac:dyDescent="0.35">
      <c r="A84" s="112" t="s">
        <v>169</v>
      </c>
      <c r="B84" s="18" t="s">
        <v>206</v>
      </c>
      <c r="C84" s="79" t="s">
        <v>108</v>
      </c>
      <c r="D84" s="90">
        <v>3000</v>
      </c>
      <c r="E84" s="30"/>
      <c r="F84" s="97">
        <f>E84*77.5%</f>
        <v>0</v>
      </c>
      <c r="G84" s="153">
        <f t="shared" ref="G84" si="78">D84*F84</f>
        <v>0</v>
      </c>
      <c r="H84" s="154"/>
      <c r="I84" s="97"/>
      <c r="J84" s="97">
        <f t="shared" si="72"/>
        <v>0</v>
      </c>
      <c r="K84" s="102">
        <f t="shared" si="73"/>
        <v>0</v>
      </c>
    </row>
    <row r="85" spans="1:16" ht="20" customHeight="1" x14ac:dyDescent="0.35">
      <c r="A85" s="112" t="s">
        <v>170</v>
      </c>
      <c r="B85" s="26" t="s">
        <v>89</v>
      </c>
      <c r="C85" s="29" t="s">
        <v>108</v>
      </c>
      <c r="D85" s="152">
        <v>3000</v>
      </c>
      <c r="E85" s="30">
        <v>1750</v>
      </c>
      <c r="F85" s="97">
        <f>E85*77.5%</f>
        <v>1356.25</v>
      </c>
      <c r="G85" s="153">
        <f t="shared" ref="G85:G88" si="79">F85*D85</f>
        <v>4068750</v>
      </c>
      <c r="H85" s="154">
        <v>0.25</v>
      </c>
      <c r="I85" s="97">
        <f>G84*H85</f>
        <v>0</v>
      </c>
      <c r="J85" s="97">
        <f t="shared" si="72"/>
        <v>732375</v>
      </c>
      <c r="K85" s="102">
        <f t="shared" si="73"/>
        <v>4801125</v>
      </c>
      <c r="L85" s="144">
        <v>4068750</v>
      </c>
      <c r="M85" s="144"/>
      <c r="N85" s="144"/>
      <c r="O85" s="143">
        <f>L85/D85</f>
        <v>1356.25</v>
      </c>
      <c r="P85" s="4">
        <f t="shared" ref="P85:P88" si="80">O85/77.5%</f>
        <v>1750</v>
      </c>
    </row>
    <row r="86" spans="1:16" ht="20" customHeight="1" x14ac:dyDescent="0.35">
      <c r="A86" s="112" t="s">
        <v>171</v>
      </c>
      <c r="B86" s="26" t="s">
        <v>90</v>
      </c>
      <c r="C86" s="29" t="s">
        <v>108</v>
      </c>
      <c r="D86" s="152">
        <v>3000</v>
      </c>
      <c r="E86" s="30">
        <v>700</v>
      </c>
      <c r="F86" s="97">
        <f t="shared" ref="F86:F88" si="81">E86*77.5%</f>
        <v>542.5</v>
      </c>
      <c r="G86" s="153">
        <f t="shared" si="79"/>
        <v>1627500</v>
      </c>
      <c r="H86" s="154">
        <v>0.1</v>
      </c>
      <c r="I86" s="97">
        <f>G84*H86</f>
        <v>0</v>
      </c>
      <c r="J86" s="97">
        <f t="shared" si="72"/>
        <v>292950</v>
      </c>
      <c r="K86" s="102">
        <f t="shared" si="73"/>
        <v>1920450</v>
      </c>
      <c r="L86" s="144">
        <v>1627500</v>
      </c>
      <c r="M86" s="144"/>
      <c r="N86" s="144"/>
      <c r="O86" s="143">
        <f t="shared" ref="O86:O88" si="82">L86/D86</f>
        <v>542.5</v>
      </c>
      <c r="P86" s="4">
        <f t="shared" si="80"/>
        <v>700</v>
      </c>
    </row>
    <row r="87" spans="1:16" ht="20" customHeight="1" x14ac:dyDescent="0.35">
      <c r="A87" s="112" t="s">
        <v>172</v>
      </c>
      <c r="B87" s="26" t="s">
        <v>91</v>
      </c>
      <c r="C87" s="29" t="s">
        <v>108</v>
      </c>
      <c r="D87" s="152">
        <v>3000</v>
      </c>
      <c r="E87" s="30">
        <v>3500</v>
      </c>
      <c r="F87" s="97">
        <f t="shared" si="81"/>
        <v>2712.5</v>
      </c>
      <c r="G87" s="153">
        <f t="shared" si="79"/>
        <v>8137500</v>
      </c>
      <c r="H87" s="154">
        <v>0.5</v>
      </c>
      <c r="I87" s="97">
        <f>G84*H87</f>
        <v>0</v>
      </c>
      <c r="J87" s="97">
        <f t="shared" si="72"/>
        <v>1464750</v>
      </c>
      <c r="K87" s="102">
        <f t="shared" si="73"/>
        <v>9602250</v>
      </c>
      <c r="L87" s="144">
        <v>8137500</v>
      </c>
      <c r="M87" s="144"/>
      <c r="N87" s="144"/>
      <c r="O87" s="143">
        <f t="shared" si="82"/>
        <v>2712.5</v>
      </c>
      <c r="P87" s="4">
        <f t="shared" si="80"/>
        <v>3500</v>
      </c>
    </row>
    <row r="88" spans="1:16" ht="20" customHeight="1" x14ac:dyDescent="0.35">
      <c r="A88" s="112" t="s">
        <v>173</v>
      </c>
      <c r="B88" s="26" t="s">
        <v>103</v>
      </c>
      <c r="C88" s="29" t="s">
        <v>108</v>
      </c>
      <c r="D88" s="152">
        <v>3000</v>
      </c>
      <c r="E88" s="30">
        <v>1050</v>
      </c>
      <c r="F88" s="97">
        <f t="shared" si="81"/>
        <v>813.75</v>
      </c>
      <c r="G88" s="153">
        <f t="shared" si="79"/>
        <v>2441250</v>
      </c>
      <c r="H88" s="154">
        <v>0.15</v>
      </c>
      <c r="I88" s="97">
        <f>G84*H88</f>
        <v>0</v>
      </c>
      <c r="J88" s="97">
        <f t="shared" si="72"/>
        <v>439425</v>
      </c>
      <c r="K88" s="102">
        <f t="shared" si="73"/>
        <v>2880675</v>
      </c>
      <c r="L88" s="144">
        <v>2441250</v>
      </c>
      <c r="M88" s="144"/>
      <c r="N88" s="144"/>
      <c r="O88" s="143">
        <f t="shared" si="82"/>
        <v>813.75</v>
      </c>
      <c r="P88" s="4">
        <f t="shared" si="80"/>
        <v>1050</v>
      </c>
    </row>
    <row r="89" spans="1:16" ht="20" customHeight="1" x14ac:dyDescent="0.35">
      <c r="A89" s="258" t="s">
        <v>85</v>
      </c>
      <c r="B89" s="258"/>
      <c r="C89" s="258"/>
      <c r="D89" s="45"/>
      <c r="E89" s="45"/>
      <c r="F89" s="97"/>
      <c r="G89" s="100">
        <f t="shared" ref="G89" si="83">SUM(G80:G88)</f>
        <v>93000000</v>
      </c>
      <c r="H89" s="97"/>
      <c r="I89" s="100">
        <f>SUM(I80:I88)</f>
        <v>0</v>
      </c>
      <c r="J89" s="100">
        <f t="shared" ref="J89:K89" si="84">SUM(J80:J88)</f>
        <v>16740000</v>
      </c>
      <c r="K89" s="100">
        <f t="shared" si="84"/>
        <v>109740000</v>
      </c>
    </row>
    <row r="90" spans="1:16" ht="20" customHeight="1" x14ac:dyDescent="0.35">
      <c r="A90" s="105"/>
      <c r="K90" s="106"/>
    </row>
    <row r="91" spans="1:16" ht="22.5" customHeight="1" x14ac:dyDescent="0.35">
      <c r="A91" s="63" t="s">
        <v>144</v>
      </c>
      <c r="B91" s="55"/>
      <c r="C91" s="55"/>
      <c r="D91" s="55"/>
      <c r="E91" s="55"/>
      <c r="F91" s="55"/>
      <c r="G91" s="64">
        <f>G89+G76+G70+G67+G64+G61+G58+G53+G51+G48</f>
        <v>150249250</v>
      </c>
      <c r="H91" s="64">
        <f t="shared" ref="H91:K91" si="85">H89+H76+H70+H67+H64+H61+H58+H53+H51+H48</f>
        <v>7</v>
      </c>
      <c r="I91" s="64" t="e">
        <f t="shared" si="85"/>
        <v>#REF!</v>
      </c>
      <c r="J91" s="64">
        <f t="shared" si="85"/>
        <v>27044865</v>
      </c>
      <c r="K91" s="64">
        <f t="shared" si="85"/>
        <v>177294115</v>
      </c>
    </row>
    <row r="92" spans="1:16" s="2" customFormat="1" ht="34.75" customHeight="1" thickBot="1" x14ac:dyDescent="0.4">
      <c r="A92" s="124" t="s">
        <v>143</v>
      </c>
      <c r="B92" s="125"/>
      <c r="C92" s="125"/>
      <c r="D92" s="125"/>
      <c r="E92" s="125"/>
      <c r="F92" s="125"/>
      <c r="G92" s="126">
        <f>G91+G44</f>
        <v>1240000000</v>
      </c>
      <c r="H92" s="125"/>
      <c r="I92" s="126" t="e">
        <f>I91+I44</f>
        <v>#REF!</v>
      </c>
      <c r="J92" s="126">
        <f>J91+J44</f>
        <v>223200000</v>
      </c>
      <c r="K92" s="126">
        <f>K91+K44</f>
        <v>1463200000</v>
      </c>
    </row>
    <row r="93" spans="1:16" ht="30" customHeight="1" thickBot="1" x14ac:dyDescent="0.4">
      <c r="A93" s="261" t="s">
        <v>54</v>
      </c>
      <c r="B93" s="262"/>
      <c r="C93" s="262"/>
      <c r="D93" s="262"/>
      <c r="E93" s="262"/>
      <c r="F93" s="262"/>
      <c r="G93" s="262"/>
      <c r="H93" s="262"/>
      <c r="I93" s="262"/>
      <c r="J93" s="262"/>
      <c r="K93" s="263"/>
    </row>
    <row r="94" spans="1:16" ht="33" customHeight="1" x14ac:dyDescent="0.35">
      <c r="A94" s="110" t="s">
        <v>53</v>
      </c>
      <c r="B94" s="246" t="s">
        <v>49</v>
      </c>
      <c r="C94" s="246"/>
      <c r="D94" s="246"/>
      <c r="E94" s="246"/>
      <c r="F94" s="246"/>
      <c r="G94" s="246"/>
      <c r="H94" s="246"/>
      <c r="I94" s="246"/>
      <c r="J94" s="246"/>
      <c r="K94" s="247"/>
    </row>
    <row r="95" spans="1:16" ht="35.5" customHeight="1" x14ac:dyDescent="0.35">
      <c r="A95" s="70" t="s">
        <v>50</v>
      </c>
      <c r="B95" s="248" t="s">
        <v>22</v>
      </c>
      <c r="C95" s="248"/>
      <c r="D95" s="248"/>
      <c r="E95" s="248"/>
      <c r="F95" s="248"/>
      <c r="G95" s="248"/>
      <c r="H95" s="248"/>
      <c r="I95" s="248"/>
      <c r="J95" s="248"/>
      <c r="K95" s="249"/>
    </row>
    <row r="96" spans="1:16" ht="37.5" customHeight="1" x14ac:dyDescent="0.35">
      <c r="A96" s="70" t="s">
        <v>51</v>
      </c>
      <c r="B96" s="248" t="s">
        <v>52</v>
      </c>
      <c r="C96" s="248"/>
      <c r="D96" s="248"/>
      <c r="E96" s="248"/>
      <c r="F96" s="248"/>
      <c r="G96" s="248"/>
      <c r="H96" s="248"/>
      <c r="I96" s="248"/>
      <c r="J96" s="248"/>
      <c r="K96" s="249"/>
    </row>
    <row r="97" spans="1:11" ht="27.5" customHeight="1" x14ac:dyDescent="0.35">
      <c r="A97" s="54" t="s">
        <v>78</v>
      </c>
      <c r="B97" s="229" t="s">
        <v>97</v>
      </c>
      <c r="C97" s="229"/>
      <c r="D97" s="229"/>
      <c r="E97" s="229"/>
      <c r="F97" s="229"/>
      <c r="G97" s="229"/>
      <c r="H97" s="229"/>
      <c r="I97" s="229"/>
      <c r="J97" s="229"/>
      <c r="K97" s="230"/>
    </row>
    <row r="98" spans="1:11" ht="43.75" customHeight="1" x14ac:dyDescent="0.35">
      <c r="A98" s="54" t="s">
        <v>79</v>
      </c>
      <c r="B98" s="240" t="s">
        <v>191</v>
      </c>
      <c r="C98" s="240"/>
      <c r="D98" s="240"/>
      <c r="E98" s="240"/>
      <c r="F98" s="240"/>
      <c r="G98" s="240"/>
      <c r="H98" s="240"/>
      <c r="I98" s="240"/>
      <c r="J98" s="240"/>
      <c r="K98" s="241"/>
    </row>
    <row r="99" spans="1:11" ht="31.25" customHeight="1" x14ac:dyDescent="0.35">
      <c r="A99" s="54" t="s">
        <v>86</v>
      </c>
      <c r="B99" s="229" t="s">
        <v>192</v>
      </c>
      <c r="C99" s="229"/>
      <c r="D99" s="229"/>
      <c r="E99" s="229"/>
      <c r="F99" s="229"/>
      <c r="G99" s="229"/>
      <c r="H99" s="229"/>
      <c r="I99" s="229"/>
      <c r="J99" s="229"/>
      <c r="K99" s="230"/>
    </row>
    <row r="100" spans="1:11" ht="33" customHeight="1" thickBot="1" x14ac:dyDescent="0.4">
      <c r="A100" s="111" t="s">
        <v>119</v>
      </c>
      <c r="B100" s="214" t="s">
        <v>190</v>
      </c>
      <c r="C100" s="214"/>
      <c r="D100" s="214"/>
      <c r="E100" s="214"/>
      <c r="F100" s="214"/>
      <c r="G100" s="214"/>
      <c r="H100" s="214"/>
      <c r="I100" s="214"/>
      <c r="J100" s="214"/>
      <c r="K100" s="215"/>
    </row>
  </sheetData>
  <mergeCells count="21">
    <mergeCell ref="A1:K1"/>
    <mergeCell ref="A4:K4"/>
    <mergeCell ref="A13:C13"/>
    <mergeCell ref="A7:K7"/>
    <mergeCell ref="A3:K3"/>
    <mergeCell ref="A2:K2"/>
    <mergeCell ref="B23:D23"/>
    <mergeCell ref="B100:K100"/>
    <mergeCell ref="A8:K8"/>
    <mergeCell ref="A43:C43"/>
    <mergeCell ref="B98:K98"/>
    <mergeCell ref="B99:K99"/>
    <mergeCell ref="A46:K46"/>
    <mergeCell ref="A93:K93"/>
    <mergeCell ref="B94:K94"/>
    <mergeCell ref="A76:C76"/>
    <mergeCell ref="A89:C89"/>
    <mergeCell ref="A58:C58"/>
    <mergeCell ref="B95:K95"/>
    <mergeCell ref="B96:K96"/>
    <mergeCell ref="B97:K97"/>
  </mergeCells>
  <phoneticPr fontId="4" type="noConversion"/>
  <printOptions horizontalCentered="1"/>
  <pageMargins left="0.23622047244094491" right="0.23622047244094491" top="0.15748031496062992" bottom="0.86614173228346458" header="0.31496062992125984" footer="0.11811023622047245"/>
  <pageSetup paperSize="9" scale="63" fitToHeight="100" orientation="landscape" r:id="rId1"/>
  <headerFooter>
    <oddFooter>&amp;C&amp;P of &amp;N</oddFooter>
  </headerFooter>
  <rowBreaks count="5" manualBreakCount="5">
    <brk id="14" max="10" man="1"/>
    <brk id="16" max="11" man="1"/>
    <brk id="48" max="11" man="1"/>
    <brk id="65" max="10" man="1"/>
    <brk id="87" max="10"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8</vt:i4>
      </vt:variant>
    </vt:vector>
  </HeadingPairs>
  <TitlesOfParts>
    <vt:vector size="12" baseType="lpstr">
      <vt:lpstr>PO Format D 11C</vt:lpstr>
      <vt:lpstr>PO Format D 14</vt:lpstr>
      <vt:lpstr>Dep14</vt:lpstr>
      <vt:lpstr>Dep11C</vt:lpstr>
      <vt:lpstr>Dep11C!Print_Area</vt:lpstr>
      <vt:lpstr>'Dep14'!Print_Area</vt:lpstr>
      <vt:lpstr>'PO Format D 11C'!Print_Area</vt:lpstr>
      <vt:lpstr>'PO Format D 14'!Print_Area</vt:lpstr>
      <vt:lpstr>Dep11C!Print_Titles</vt:lpstr>
      <vt:lpstr>'Dep14'!Print_Titles</vt:lpstr>
      <vt:lpstr>'PO Format D 11C'!Print_Titles</vt:lpstr>
      <vt:lpstr>'PO Format D 14'!Print_Titles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SURAJIT SKSL</dc:creator>
  <cp:lastModifiedBy>Naresh Kumar</cp:lastModifiedBy>
  <cp:lastPrinted>2025-10-31T05:33:04Z</cp:lastPrinted>
  <dcterms:created xsi:type="dcterms:W3CDTF">2015-06-05T18:17:20Z</dcterms:created>
  <dcterms:modified xsi:type="dcterms:W3CDTF">2026-03-02T11:41:52Z</dcterms:modified>
</cp:coreProperties>
</file>